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2" autoFilterDateGrouping="true" firstSheet="0" minimized="false" showHorizontalScroll="true" showSheetTabs="true" showVerticalScroll="true" tabRatio="600" visibility="visible"/>
  </bookViews>
  <sheets>
    <sheet name="Agus Ahir Hasibuan" sheetId="1" r:id="rId4"/>
    <sheet name="Ahmad Fauzi Hasibuan" sheetId="2" r:id="rId5"/>
    <sheet name="Ahmad Juandi Nasution" sheetId="3" r:id="rId6"/>
    <sheet name="Ali Agusran Harahap" sheetId="4" r:id="rId7"/>
    <sheet name="Ali Usron Siregar" sheetId="5" r:id="rId8"/>
    <sheet name="Ali Wardana" sheetId="6" r:id="rId9"/>
    <sheet name="Alihot" sheetId="7" r:id="rId10"/>
    <sheet name="Amin Siregar" sheetId="8" r:id="rId11"/>
    <sheet name="Amir Husin" sheetId="9" r:id="rId12"/>
    <sheet name="Ammar Ansori Panjaitan" sheetId="10" r:id="rId13"/>
    <sheet name="Amoi Sani Samosir" sheetId="11" r:id="rId14"/>
    <sheet name="Amran Nasution" sheetId="12" r:id="rId15"/>
    <sheet name="Andes Putra Tunggal" sheetId="13" r:id="rId16"/>
    <sheet name="Ardiansah Siregar" sheetId="14" r:id="rId17"/>
    <sheet name="Ardiansyah Lubis" sheetId="15" r:id="rId18"/>
    <sheet name="Ardin Sormin" sheetId="16" r:id="rId19"/>
    <sheet name="Arlin Frengki Sihombing" sheetId="17" r:id="rId20"/>
    <sheet name="Arnold" sheetId="18" r:id="rId21"/>
    <sheet name="Berkat Jaya Zebua" sheetId="19" r:id="rId22"/>
    <sheet name="Daud Halomoan" sheetId="20" r:id="rId23"/>
    <sheet name="Dedi Santo Zebua" sheetId="21" r:id="rId24"/>
    <sheet name="Dodi Syaputra" sheetId="22" r:id="rId25"/>
    <sheet name="Doli Saputra Batubara" sheetId="23" r:id="rId26"/>
    <sheet name="Erdianto" sheetId="24" r:id="rId27"/>
    <sheet name="Erwin Syaputra Lubis" sheetId="25" r:id="rId28"/>
    <sheet name="Fauzi Hamonangan Sibuea" sheetId="26" r:id="rId29"/>
    <sheet name="Feri Hidayat" sheetId="27" r:id="rId30"/>
    <sheet name="Heldiansyah Panggabean" sheetId="28" r:id="rId31"/>
    <sheet name="Hendri Fitriadi Sagala" sheetId="29" r:id="rId32"/>
    <sheet name="Hendri Saputra" sheetId="30" r:id="rId33"/>
    <sheet name="Heri Hamjah" sheetId="31" r:id="rId34"/>
    <sheet name="Ikhwan Amin Pardede" sheetId="32" r:id="rId35"/>
    <sheet name="Ismail Sihombing" sheetId="33" r:id="rId36"/>
    <sheet name="Jamaluddin Pane" sheetId="34" r:id="rId37"/>
    <sheet name="Jumalin" sheetId="35" r:id="rId38"/>
    <sheet name="Khoirul Anwar Siregar" sheetId="36" r:id="rId39"/>
    <sheet name="Magrib Efendi Batu Bara" sheetId="37" r:id="rId40"/>
    <sheet name="Mandala Putra Hasibuan" sheetId="38" r:id="rId41"/>
    <sheet name="Marali Tua Simanungkalit" sheetId="39" r:id="rId42"/>
    <sheet name="Mardianto Rambe" sheetId="40" r:id="rId43"/>
    <sheet name="Mardiyanto" sheetId="41" r:id="rId44"/>
    <sheet name="Maria Simatupang" sheetId="42" r:id="rId45"/>
    <sheet name="Marlinus Waruhu" sheetId="43" r:id="rId46"/>
    <sheet name="Marwan Efendi" sheetId="44" r:id="rId47"/>
    <sheet name="Masriadi Galingging" sheetId="45" r:id="rId48"/>
    <sheet name="Miserrianus" sheetId="46" r:id="rId49"/>
    <sheet name="Muhammad Febrian Kosasih" sheetId="47" r:id="rId50"/>
    <sheet name="Muhammad Ifan" sheetId="48" r:id="rId51"/>
    <sheet name="Muhammad Rizal Siregar" sheetId="49" r:id="rId52"/>
    <sheet name="Muliadi" sheetId="50" r:id="rId53"/>
    <sheet name="Pardamean Lubis" sheetId="51" r:id="rId54"/>
    <sheet name="Rahmad Diki Harahap" sheetId="52" r:id="rId55"/>
    <sheet name="Rahmadsyah Siregar" sheetId="53" r:id="rId56"/>
    <sheet name="Redi Robert Siahaan" sheetId="54" r:id="rId57"/>
    <sheet name="Ridoan Siregar" sheetId="55" r:id="rId58"/>
    <sheet name="Riduwan Nainggolan" sheetId="56" r:id="rId59"/>
    <sheet name="Rito Siregar" sheetId="57" r:id="rId60"/>
    <sheet name="Ronaldo Simamora" sheetId="58" r:id="rId61"/>
    <sheet name="Ruth Lamey Marlina Pasaribu" sheetId="59" r:id="rId62"/>
    <sheet name="Sabarudin Pohan" sheetId="60" r:id="rId63"/>
    <sheet name="Saedar Mulia Lubis" sheetId="61" r:id="rId64"/>
    <sheet name="Sahlan Harahap" sheetId="62" r:id="rId65"/>
    <sheet name="Saut Halomoan Rambe" sheetId="63" r:id="rId66"/>
    <sheet name="Saut Pardamean Pulungan" sheetId="64" r:id="rId67"/>
    <sheet name="Stepan Dearmon Zebua" sheetId="65" r:id="rId68"/>
    <sheet name="Suar Efendi" sheetId="66" r:id="rId69"/>
    <sheet name="Suparmin" sheetId="67" r:id="rId70"/>
    <sheet name="Surya Agustus Silalahi" sheetId="68" r:id="rId71"/>
    <sheet name="Triadi Saputra" sheetId="69" r:id="rId72"/>
    <sheet name="Wahyudi" sheetId="70" r:id="rId73"/>
    <sheet name="Wahyudi Amanda" sheetId="71" r:id="rId74"/>
    <sheet name="Welda Herman Lubis" sheetId="72" r:id="rId75"/>
    <sheet name="Zainal Arifin Hasibuan" sheetId="73" r:id="rId76"/>
    <sheet name="Worksheet" sheetId="74" r:id="rId7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<sst xmlns="http://schemas.openxmlformats.org/spreadsheetml/2006/main" uniqueCount="385">
  <si>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PT. SANGATI SOERYA SEJAHTERA</t>
  </si>
  <si>
    <t>Slip Gaji Karyawan</t>
  </si>
  <si>
    <t>PT : Promincon Indonesia</t>
  </si>
  <si>
    <t>NAMA</t>
  </si>
  <si>
    <t>Agus Ahir Hasibuan</t>
  </si>
  <si>
    <t>Id</t>
  </si>
  <si>
    <t>Periode : 16-11-2022 to 15-12-2022</t>
  </si>
  <si>
    <t>JABATAN</t>
  </si>
  <si>
    <t>Drilling Crew 733</t>
  </si>
  <si>
    <t xml:space="preserve">DEPT </t>
  </si>
  <si>
    <t>PMC - 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</si>
  <si>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</si>
  <si>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</si>
  <si>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</si>
  <si>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</si>
  <si>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</si>
  <si>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</si>
  <si>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</si>
  <si>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</si>
  <si>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K0</t>
  </si>
  <si>
    <t>Base   : 52</t>
  </si>
  <si>
    <t>RATE/HOUR</t>
  </si>
  <si>
    <t>NPWP</t>
  </si>
  <si>
    <t>-</t>
  </si>
  <si>
    <t>Format : 90-19-02-09</t>
  </si>
  <si>
    <t>NS</t>
  </si>
  <si>
    <t>Upah</t>
  </si>
  <si>
    <t>OT 1</t>
  </si>
  <si>
    <t>10.0 x 1.5 x 19,578.50 = Rp.</t>
  </si>
  <si>
    <t>OT 2</t>
  </si>
  <si>
    <t>30.0 x 2.0 x 19,578.50 = Rp.</t>
  </si>
  <si>
    <t>OT 3</t>
  </si>
  <si>
    <t>0.0 x 3.0 x 19,578.50 = Rp.</t>
  </si>
  <si>
    <t>OT 4</t>
  </si>
  <si>
    <t>0.0 x 4.0 x 19,578.50 = Rp.</t>
  </si>
  <si>
    <t>OT TOTAL</t>
  </si>
  <si>
    <t>Tunjangan Kehadiran</t>
  </si>
  <si>
    <t>10 Hari</t>
  </si>
  <si>
    <t>Tunjangan Transport</t>
  </si>
  <si>
    <t>RO</t>
  </si>
  <si>
    <t>Tunjangan Shift Malam</t>
  </si>
  <si>
    <t>Tunjangan</t>
  </si>
  <si>
    <t>THR</t>
  </si>
  <si>
    <t>BONUS TOTAL</t>
  </si>
  <si>
    <t>JKK &amp; JKM(2.04%)</t>
  </si>
  <si>
    <t>Iuran BPJS Kesehatan(4%)</t>
  </si>
  <si>
    <t>Potongan Absensi 0 Hari</t>
  </si>
  <si>
    <t>Adjustment In</t>
  </si>
  <si>
    <t>Adjustment Out</t>
  </si>
  <si>
    <t>TOTAL KOTOR</t>
  </si>
  <si>
    <t>Pajak Penghasilan</t>
  </si>
  <si>
    <t>A</t>
  </si>
  <si>
    <t>0.00%</t>
  </si>
  <si>
    <t>Iuran JHT BPJS TK(2%)</t>
  </si>
  <si>
    <t>Iuran BPJS Kesehatan(1%)</t>
  </si>
  <si>
    <t>Iuran JP TK(1%)</t>
  </si>
  <si>
    <t>Potong Pajak</t>
  </si>
  <si>
    <t>TOTAL</t>
  </si>
  <si>
    <t>TOTAL OT</t>
  </si>
  <si>
    <t>Adj</t>
  </si>
  <si>
    <t>Beban Hutang</t>
  </si>
  <si>
    <t>Pembulatan</t>
  </si>
  <si>
    <t>TOTAL TERIMA</t>
  </si>
  <si>
    <t>Dibayarkan Oleh</t>
  </si>
  <si>
    <t>Payroll/ Accounting</t>
  </si>
  <si>
    <t>Diterima Oleh Karyawan</t>
  </si>
  <si>
    <t>MANDIRI : 1830006307523</t>
  </si>
  <si>
    <t>Ahmad Fauzi Hasibuan</t>
  </si>
  <si>
    <t>Drilling Crew 703</t>
  </si>
  <si>
    <t>K2</t>
  </si>
  <si>
    <t>Format : 14-12-25-87</t>
  </si>
  <si>
    <t>12.0 x 1.5 x 19,578.50 = Rp.</t>
  </si>
  <si>
    <t>36.0 x 2.0 x 19,578.50 = Rp.</t>
  </si>
  <si>
    <t>12 Hari</t>
  </si>
  <si>
    <t>11 Hari</t>
  </si>
  <si>
    <t>B</t>
  </si>
  <si>
    <t>MANDIRI : 1830006290265</t>
  </si>
  <si>
    <t>Ahmad Juandi Nasution</t>
  </si>
  <si>
    <t>TK0</t>
  </si>
  <si>
    <t>Format : 08-24-88</t>
  </si>
  <si>
    <t>0 Hari</t>
  </si>
  <si>
    <t>BRI : 533001020055534</t>
  </si>
  <si>
    <t>Ali Agusran Harahap</t>
  </si>
  <si>
    <t>Drilling Crew 741</t>
  </si>
  <si>
    <t>Format : 89-09-04</t>
  </si>
  <si>
    <t>8.0 x 1.5 x 19,578.50 = Rp.</t>
  </si>
  <si>
    <t>24.0 x 2.0 x 19,578.50 = Rp.</t>
  </si>
  <si>
    <t>8 Hari</t>
  </si>
  <si>
    <t>BRI : 338401025528539</t>
  </si>
  <si>
    <t>Ali Usron Siregar</t>
  </si>
  <si>
    <t>Drilling Crew 714</t>
  </si>
  <si>
    <t>Format : 07-44-77-10</t>
  </si>
  <si>
    <t>BRI : 338401042828538</t>
  </si>
  <si>
    <t>Ali Wardana</t>
  </si>
  <si>
    <t>Format : 06-53-79</t>
  </si>
  <si>
    <t>BRI : 338401046384536</t>
  </si>
  <si>
    <t>Alihot</t>
  </si>
  <si>
    <t>Format : 19-09-02-18</t>
  </si>
  <si>
    <t>2.0 x 1.5 x 19,578.50 = Rp.</t>
  </si>
  <si>
    <t>6.0 x 2.0 x 19,578.50 = Rp.</t>
  </si>
  <si>
    <t>2 Hari</t>
  </si>
  <si>
    <t>1 Hari</t>
  </si>
  <si>
    <t>BRI : 334301004179505</t>
  </si>
  <si>
    <t>Amin Siregar</t>
  </si>
  <si>
    <t>Format : 06-39-09-03</t>
  </si>
  <si>
    <t>3.0 x 1.5 x 19,578.50 = Rp.</t>
  </si>
  <si>
    <t>9.0 x 2.0 x 19,578.50 = Rp.</t>
  </si>
  <si>
    <t>3 Hari</t>
  </si>
  <si>
    <t>MANDIRI : 1830006307655</t>
  </si>
  <si>
    <t>Amir Husin</t>
  </si>
  <si>
    <t>Drilling Crew 704</t>
  </si>
  <si>
    <t>BRI : 338401016643504</t>
  </si>
  <si>
    <t>Ammar Ansori Panjaitan</t>
  </si>
  <si>
    <t>Assistant Mechanic</t>
  </si>
  <si>
    <t>K1</t>
  </si>
  <si>
    <t>Format : 14-62-69-02</t>
  </si>
  <si>
    <t>13.0 x 1.5 x 19,578.50 = Rp.</t>
  </si>
  <si>
    <t>39.0 x 2.0 x 19,578.50 = Rp.</t>
  </si>
  <si>
    <t>13 Hari</t>
  </si>
  <si>
    <t>MANDIRI : 1830006307499</t>
  </si>
  <si>
    <t>Amoi Sani Samosir</t>
  </si>
  <si>
    <t>Cleaning Service</t>
  </si>
  <si>
    <t>Format : 01-11-32-14-31-62-13-10</t>
  </si>
  <si>
    <t>16.0 x 1.5 x 19,578.50 = Rp.</t>
  </si>
  <si>
    <t>0.0 x 2.0 x 19,578.50 = Rp.</t>
  </si>
  <si>
    <t>16 Hari</t>
  </si>
  <si>
    <t>BRI : 537301014780535</t>
  </si>
  <si>
    <t>Amran Nasution</t>
  </si>
  <si>
    <t>K3</t>
  </si>
  <si>
    <t>Format : 01-43-34-72-23-10</t>
  </si>
  <si>
    <t>17.0 x 1.5 x 19,578.50 = Rp.</t>
  </si>
  <si>
    <t>51.0 x 2.0 x 19,578.50 = Rp.</t>
  </si>
  <si>
    <t>17 Hari</t>
  </si>
  <si>
    <t>4 Hari</t>
  </si>
  <si>
    <t>C</t>
  </si>
  <si>
    <t>BRI : 013501076278503</t>
  </si>
  <si>
    <t>Andes Putra Tunggal</t>
  </si>
  <si>
    <t>Welder</t>
  </si>
  <si>
    <t>Format : 39-04-77</t>
  </si>
  <si>
    <t>MANDIRI : 1830006307481</t>
  </si>
  <si>
    <t>Ardiansah Siregar</t>
  </si>
  <si>
    <t>Format : 31-31-90-74-11</t>
  </si>
  <si>
    <t>23.0 x 1.5 x 19,578.50 = Rp.</t>
  </si>
  <si>
    <t>69.0 x 2.0 x 19,578.50 = Rp.</t>
  </si>
  <si>
    <t>23 Hari</t>
  </si>
  <si>
    <t>1.50%</t>
  </si>
  <si>
    <t>MANDIRI : 1830006306558</t>
  </si>
  <si>
    <t>Ardiansyah Lubis</t>
  </si>
  <si>
    <t>Format : 07-29-05-70</t>
  </si>
  <si>
    <t>9.0 x 1.5 x 19,578.50 = Rp.</t>
  </si>
  <si>
    <t>27.0 x 2.0 x 19,578.50 = Rp.</t>
  </si>
  <si>
    <t>9 Hari</t>
  </si>
  <si>
    <t>7 Hari</t>
  </si>
  <si>
    <t>MANDIRI : 1830006293756</t>
  </si>
  <si>
    <t>Ardin Sormin</t>
  </si>
  <si>
    <t>MANDIRI : 1830006307879</t>
  </si>
  <si>
    <t>Arlin Frengki Sihombing</t>
  </si>
  <si>
    <t>Format : 90-19-09-02</t>
  </si>
  <si>
    <t>BRI : 533001022130534</t>
  </si>
  <si>
    <t>Arnold</t>
  </si>
  <si>
    <t>Drilling Crew 734</t>
  </si>
  <si>
    <t>Format : 08-90-90-40</t>
  </si>
  <si>
    <t>22.0 x 1.5 x 19,578.50 = Rp.</t>
  </si>
  <si>
    <t>66.0 x 2.0 x 19,578.50 = Rp.</t>
  </si>
  <si>
    <t>22 Hari</t>
  </si>
  <si>
    <t>1.00%</t>
  </si>
  <si>
    <t>MANDIRI : 1830006307358</t>
  </si>
  <si>
    <t>Berkat Jaya Zebua</t>
  </si>
  <si>
    <t>Format : 90-13-89</t>
  </si>
  <si>
    <t>18.0 x 1.5 x 19,578.50 = Rp.</t>
  </si>
  <si>
    <t>54.0 x 2.0 x 19,578.50 = Rp.</t>
  </si>
  <si>
    <t>18 Hari</t>
  </si>
  <si>
    <t>BRI : 338401047280531</t>
  </si>
  <si>
    <t>Daud Halomoan</t>
  </si>
  <si>
    <t>Format : 90-39-03-60</t>
  </si>
  <si>
    <t>0.75%</t>
  </si>
  <si>
    <t>BRI : 533001009502508</t>
  </si>
  <si>
    <t>Dedi Santo Zebua</t>
  </si>
  <si>
    <t>Format : 90-90-46-11</t>
  </si>
  <si>
    <t>MANDIRI : 1830006290356</t>
  </si>
  <si>
    <t>Dodi Syaputra</t>
  </si>
  <si>
    <t>Format : 09-12-19-08</t>
  </si>
  <si>
    <t>MANDIRI : 1830006293319</t>
  </si>
  <si>
    <t>Doli Saputra Batubara</t>
  </si>
  <si>
    <t>Format : 59-01-21-21-90</t>
  </si>
  <si>
    <t>5 Hari</t>
  </si>
  <si>
    <t>0.25%</t>
  </si>
  <si>
    <t>MANDIRI : 1830005865935</t>
  </si>
  <si>
    <t>Erdianto</t>
  </si>
  <si>
    <t>Security</t>
  </si>
  <si>
    <t>Format : 46-90-36-20</t>
  </si>
  <si>
    <t>MANDIRI : 1830006296627</t>
  </si>
  <si>
    <t>Erwin Syaputra Lubis</t>
  </si>
  <si>
    <t>Format : 69-09-06</t>
  </si>
  <si>
    <t>6.0 x 1.5 x 19,578.50 = Rp.</t>
  </si>
  <si>
    <t>18.0 x 2.0 x 19,578.50 = Rp.</t>
  </si>
  <si>
    <t>6 Hari</t>
  </si>
  <si>
    <t>BRI : 338401047183535</t>
  </si>
  <si>
    <t>Fauzi Hamonangan Sibuea</t>
  </si>
  <si>
    <t>MANDIRI : 1830006290752</t>
  </si>
  <si>
    <t>Feri Hidayat</t>
  </si>
  <si>
    <t>Format : 05-90-90-70</t>
  </si>
  <si>
    <t>25.0 x 1.5 x 19,578.50 = Rp.</t>
  </si>
  <si>
    <t>75.0 x 2.0 x 19,578.50 = Rp.</t>
  </si>
  <si>
    <t>25 Hari</t>
  </si>
  <si>
    <t>MANDIRI : 1830006307416</t>
  </si>
  <si>
    <t>Heldiansyah Panggabean</t>
  </si>
  <si>
    <t>Format : 90-90-29-01</t>
  </si>
  <si>
    <t>20.0 x 1.5 x 19,578.50 = Rp.</t>
  </si>
  <si>
    <t>60.0 x 2.0 x 19,578.50 = Rp.</t>
  </si>
  <si>
    <t>20 Hari</t>
  </si>
  <si>
    <t>19 Hari</t>
  </si>
  <si>
    <t>1.25%</t>
  </si>
  <si>
    <t>BRI : 533001021917535</t>
  </si>
  <si>
    <t>Hendri Fitriadi Sagala</t>
  </si>
  <si>
    <t>Format : 81-12-29-07</t>
  </si>
  <si>
    <t>11.0 x 1.5 x 19,578.50 = Rp.</t>
  </si>
  <si>
    <t>33.0 x 2.0 x 19,578.50 = Rp.</t>
  </si>
  <si>
    <t>MANDIRI : 1830006290539</t>
  </si>
  <si>
    <t>Hendri Saputra</t>
  </si>
  <si>
    <t>Electrician</t>
  </si>
  <si>
    <t>Format : 06-90-90-51</t>
  </si>
  <si>
    <t>MANDIRI : 1830006307366</t>
  </si>
  <si>
    <t>Heri Hamjah</t>
  </si>
  <si>
    <t>Format : 99-09-03</t>
  </si>
  <si>
    <t>MANDIRI : 1830006306749</t>
  </si>
  <si>
    <t>Ikhwan Amin Pardede</t>
  </si>
  <si>
    <t>Format : 09-19-09-02</t>
  </si>
  <si>
    <t>1.0 x 1.5 x 19,578.50 = Rp.</t>
  </si>
  <si>
    <t>9.0 x 3.0 x 19,578.50 = Rp.</t>
  </si>
  <si>
    <t>27.0 x 4.0 x 19,578.50 = Rp.</t>
  </si>
  <si>
    <t>MANDIRI : 1830006307440</t>
  </si>
  <si>
    <t>Ismail Sihombing</t>
  </si>
  <si>
    <t>Format : 90-23-88</t>
  </si>
  <si>
    <t>19.0 x 1.5 x 19,578.50 = Rp.</t>
  </si>
  <si>
    <t>57.0 x 2.0 x 19,578.50 = Rp.</t>
  </si>
  <si>
    <t>BRI : 013501092280504</t>
  </si>
  <si>
    <t>Jamaluddin Pane</t>
  </si>
  <si>
    <t>Format : 81-21-39-11-40</t>
  </si>
  <si>
    <t>MANDIRI : 1830006289945</t>
  </si>
  <si>
    <t>Jumalin</t>
  </si>
  <si>
    <t>Format : 79-09-05</t>
  </si>
  <si>
    <t>7.0 x 1.5 x 19,578.50 = Rp.</t>
  </si>
  <si>
    <t>21.0 x 2.0 x 19,578.50 = Rp.</t>
  </si>
  <si>
    <t>BRI : 533801035867538</t>
  </si>
  <si>
    <t>Khoirul Anwar Siregar</t>
  </si>
  <si>
    <t>Format : 59-04-90-30</t>
  </si>
  <si>
    <t>MANDIRI : 1830005879340</t>
  </si>
  <si>
    <t>Magrib Efendi Batu Bara</t>
  </si>
  <si>
    <t>Format : 89-07-60</t>
  </si>
  <si>
    <t>14.0 x 1.5 x 19,578.50 = Rp.</t>
  </si>
  <si>
    <t>42.0 x 2.0 x 19,578.50 = Rp.</t>
  </si>
  <si>
    <t>14 Hari</t>
  </si>
  <si>
    <t>BRI : 533001017285530</t>
  </si>
  <si>
    <t>Mandala Putra Hasibuan</t>
  </si>
  <si>
    <t>Format : 90-23-79</t>
  </si>
  <si>
    <t>BRI : 013501095070500</t>
  </si>
  <si>
    <t>Marali Tua Simanungkalit</t>
  </si>
  <si>
    <t>Format : 07-44-76-20</t>
  </si>
  <si>
    <t>BRI : 013501031706533</t>
  </si>
  <si>
    <t>Mardianto Rambe</t>
  </si>
  <si>
    <t>Format : 90-29-09-01</t>
  </si>
  <si>
    <t>BRI : 338401046383530</t>
  </si>
  <si>
    <t>Mardiyanto</t>
  </si>
  <si>
    <t>Format : 84-90-18</t>
  </si>
  <si>
    <t>MANDIRI : 1830006307374</t>
  </si>
  <si>
    <t>Maria Simatupang</t>
  </si>
  <si>
    <t>MUD Control</t>
  </si>
  <si>
    <t>Format : 01-21-22-25-21-22-17</t>
  </si>
  <si>
    <t>BRI : 013501047972504</t>
  </si>
  <si>
    <t>Marlinus Waruhu</t>
  </si>
  <si>
    <t>Format : 90-69-06</t>
  </si>
  <si>
    <t>15.0 x 1.5 x 19,578.50 = Rp.</t>
  </si>
  <si>
    <t>45.0 x 2.0 x 19,578.50 = Rp.</t>
  </si>
  <si>
    <t>15 Hari</t>
  </si>
  <si>
    <t>BRI : 008501058832508</t>
  </si>
  <si>
    <t>Marwan Efendi</t>
  </si>
  <si>
    <t>Format : 05-19-09-06</t>
  </si>
  <si>
    <t>3.0 x 2.0 x 19,578.50 = Rp.</t>
  </si>
  <si>
    <t>MANDIRI : 1830006307267</t>
  </si>
  <si>
    <t>Masriadi Galingging</t>
  </si>
  <si>
    <t>Drilling Crew</t>
  </si>
  <si>
    <t>Format : 90-23-69-01</t>
  </si>
  <si>
    <t>0.50%</t>
  </si>
  <si>
    <t>BRI : 533001034083537</t>
  </si>
  <si>
    <t>Miserrianus</t>
  </si>
  <si>
    <t>Format : 09-24-76-20</t>
  </si>
  <si>
    <t>BRI : 338401046968534</t>
  </si>
  <si>
    <t>Muhammad Febrian Kosasih</t>
  </si>
  <si>
    <t>Crew Loading Point</t>
  </si>
  <si>
    <t>Format : 43-43-43-27</t>
  </si>
  <si>
    <t>MANDIRI : 1830006034218</t>
  </si>
  <si>
    <t>Muhammad Ifan</t>
  </si>
  <si>
    <t>Format : 05-54-78-10</t>
  </si>
  <si>
    <t>BRI : 013501080278503</t>
  </si>
  <si>
    <t>Muhammad Rizal Siregar</t>
  </si>
  <si>
    <t>Format : 03-90-61-56</t>
  </si>
  <si>
    <t>BRI : 533001005383538</t>
  </si>
  <si>
    <t>Muliadi</t>
  </si>
  <si>
    <t>Format : 01-89-09-03</t>
  </si>
  <si>
    <t>MANDIRI : 1830006307291</t>
  </si>
  <si>
    <t>Pardamean Lubis</t>
  </si>
  <si>
    <t>Format : 08-29-09-02</t>
  </si>
  <si>
    <t>MANDIRI : 1830006306772</t>
  </si>
  <si>
    <t>Rahmad Diki Harahap</t>
  </si>
  <si>
    <t>Format : 07-49-03-70</t>
  </si>
  <si>
    <t>BRI : 533001043861532</t>
  </si>
  <si>
    <t>Rahmadsyah Siregar</t>
  </si>
  <si>
    <t>Format : 99-90-30</t>
  </si>
  <si>
    <t>21.0 x 1.5 x 19,578.50 = Rp.</t>
  </si>
  <si>
    <t>63.0 x 2.0 x 19,578.50 = Rp.</t>
  </si>
  <si>
    <t>21 Hari</t>
  </si>
  <si>
    <t>BRI : 533001008068535</t>
  </si>
  <si>
    <t>Redi Robert Siahaan</t>
  </si>
  <si>
    <t>Format : 09-01-90-90-20</t>
  </si>
  <si>
    <t>BRI : 533001014388509</t>
  </si>
  <si>
    <t>Ridoan Siregar</t>
  </si>
  <si>
    <t>Format : 08-29-04-70</t>
  </si>
  <si>
    <t>MANDIRI : 1830006290430</t>
  </si>
  <si>
    <t>Riduwan Nainggolan</t>
  </si>
  <si>
    <t>Format : 90-90-90-30</t>
  </si>
  <si>
    <t>30.0 x 1.5 x 19,578.50 = Rp.</t>
  </si>
  <si>
    <t>90.0 x 2.0 x 19,578.50 = Rp.</t>
  </si>
  <si>
    <t>30 Hari</t>
  </si>
  <si>
    <t>MANDIRI : 1830006307820</t>
  </si>
  <si>
    <t>Rito Siregar</t>
  </si>
  <si>
    <t>Format : 02-92-89</t>
  </si>
  <si>
    <t>BRI : 338401046969530</t>
  </si>
  <si>
    <t>Ronaldo Simamora</t>
  </si>
  <si>
    <t>Format : 04-64-55-33</t>
  </si>
  <si>
    <t>46.0 x 2.0 x 19,578.50 = Rp.</t>
  </si>
  <si>
    <t>BNI : 1994178803</t>
  </si>
  <si>
    <t>Ruth Lamey Marlina Pasaribu</t>
  </si>
  <si>
    <t>Format : 01-22-12-21-22-22-19-01</t>
  </si>
  <si>
    <t>BRI : 533001017237537</t>
  </si>
  <si>
    <t>Sabarudin Pohan</t>
  </si>
  <si>
    <t>Format : 05-55-76-20</t>
  </si>
  <si>
    <t>70.0 x 2.0 x 19,578.50 = Rp.</t>
  </si>
  <si>
    <t>5.0 x 3.0 x 19,578.50 = Rp.</t>
  </si>
  <si>
    <t>15.0 x 4.0 x 19,578.50 = Rp.</t>
  </si>
  <si>
    <t>Potongan Absensi 4 Hari</t>
  </si>
  <si>
    <t>BRI : 338401047522535</t>
  </si>
  <si>
    <t>Saedar Mulia Lubis</t>
  </si>
  <si>
    <t>Format : 05-55-87</t>
  </si>
  <si>
    <t>MANDIRI : 1830006307515</t>
  </si>
  <si>
    <t>Sahlan Harahap</t>
  </si>
  <si>
    <t>Format : 25-34-79</t>
  </si>
  <si>
    <t>BRI : 013501089253500</t>
  </si>
  <si>
    <t>Saut Halomoan Rambe</t>
  </si>
  <si>
    <t>Format : 83-19-05-40</t>
  </si>
  <si>
    <t>MANDIRI : 1830006307424</t>
  </si>
  <si>
    <t>Saut Pardamean Pulungan</t>
  </si>
  <si>
    <t>Format : 06-29-09-13</t>
  </si>
  <si>
    <t>MANDIRI : 1830006616162</t>
  </si>
  <si>
    <t>Stepan Dearmon Zebua</t>
  </si>
  <si>
    <t>Format : 01-42-32-39-06</t>
  </si>
  <si>
    <t>MANDIRI : 1830006296643</t>
  </si>
  <si>
    <t>Suar Efendi</t>
  </si>
  <si>
    <t>Format : 04-32-90-18-30</t>
  </si>
  <si>
    <t>48.0 x 2.0 x 19,578.50 = Rp.</t>
  </si>
  <si>
    <t>MANDIRI : 1830005876239</t>
  </si>
  <si>
    <t>Suparmin</t>
  </si>
  <si>
    <t>Masinis</t>
  </si>
  <si>
    <t>Format : 01-90-90-61-12-10</t>
  </si>
  <si>
    <t>26.0 x 1.5 x 19,578.50 = Rp.</t>
  </si>
  <si>
    <t>78.0 x 2.0 x 19,578.50 = Rp.</t>
  </si>
  <si>
    <t>26 Hari</t>
  </si>
  <si>
    <t>BRI : 533001024163533</t>
  </si>
  <si>
    <t>Surya Agustus Silalahi</t>
  </si>
  <si>
    <t>Format : 05-90-29-01-40</t>
  </si>
  <si>
    <t>MANDIRI : 1830006290224</t>
  </si>
  <si>
    <t>Triadi Saputra</t>
  </si>
  <si>
    <t>Format : 02-79-09-03</t>
  </si>
  <si>
    <t>BRI : 338401047499538</t>
  </si>
  <si>
    <t>Wahyudi</t>
  </si>
  <si>
    <t>BRI : 013501091543501</t>
  </si>
  <si>
    <t>Wahyudi Amanda</t>
  </si>
  <si>
    <t>Format : 90-22-32-19-11</t>
  </si>
  <si>
    <t>BRI : 533001013521536</t>
  </si>
  <si>
    <t>Welda Herman Lubis</t>
  </si>
  <si>
    <t>Format : 26-24-79</t>
  </si>
  <si>
    <t>BRI : 013501032298533</t>
  </si>
  <si>
    <t>Zainal Arifin Hasibuan</t>
  </si>
  <si>
    <t>Format : 01-41-97-62</t>
  </si>
  <si>
    <t>MANDIRI : 1830006307283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</si>
</sst>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251100085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67</v>
      </c>
      <c r="N4" s="10" t="s">
        <v>5</v>
      </c>
      <c r="O4" s="10">
        <v>251100042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74</v>
      </c>
      <c r="N19" s="25">
        <v>279434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471434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4470327.55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4130265.0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4130300.0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77</v>
      </c>
      <c r="N4" s="10" t="s">
        <v>5</v>
      </c>
      <c r="O4" s="10">
        <v>251100049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82</v>
      </c>
      <c r="N4" s="10" t="s">
        <v>5</v>
      </c>
      <c r="O4" s="10">
        <v>251100089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89</v>
      </c>
      <c r="N4" s="10" t="s">
        <v>5</v>
      </c>
      <c r="O4" s="10">
        <v>251100067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4190893.55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3850831.0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3850800.0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93</v>
      </c>
      <c r="N4" s="10" t="s">
        <v>5</v>
      </c>
      <c r="O4" s="10">
        <v>251100066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4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496837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4495730.55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4155668.0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4155700.0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96</v>
      </c>
      <c r="N4" s="10" t="s">
        <v>5</v>
      </c>
      <c r="O4" s="10">
        <v>251100074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101</v>
      </c>
      <c r="N19" s="25">
        <v>25403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57403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894368.33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554305.0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103</v>
      </c>
      <c r="N4" s="10" t="s">
        <v>5</v>
      </c>
      <c r="O4" s="10">
        <v>251100052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104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124209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1277367.15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937304.0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937300.0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109</v>
      </c>
      <c r="N4" s="10" t="s">
        <v>5</v>
      </c>
      <c r="O4" s="10">
        <v>251100075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112</v>
      </c>
      <c r="N4" s="10" t="s">
        <v>5</v>
      </c>
      <c r="O4" s="10">
        <v>251100028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6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258806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4573892.38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4233829.0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4233800.0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112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120</v>
      </c>
      <c r="N4" s="10" t="s">
        <v>5</v>
      </c>
      <c r="O4" s="10">
        <v>251100033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121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9</v>
      </c>
      <c r="E10" s="4">
        <v>8.0</v>
      </c>
      <c r="F10" s="4">
        <v>1.0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124</v>
      </c>
      <c r="N11" s="25">
        <v>0.0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9</v>
      </c>
      <c r="E12" s="4">
        <v>8.0</v>
      </c>
      <c r="F12" s="4">
        <v>1.0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9</v>
      </c>
      <c r="E13" s="4">
        <v>8.0</v>
      </c>
      <c r="F13" s="4">
        <v>1.0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9</v>
      </c>
      <c r="E14" s="4">
        <v>8.0</v>
      </c>
      <c r="F14" s="4">
        <v>1.0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469884.0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9</v>
      </c>
      <c r="E17" s="4">
        <v>8.0</v>
      </c>
      <c r="F17" s="4">
        <v>1.0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9</v>
      </c>
      <c r="E22" s="4">
        <v>8.0</v>
      </c>
      <c r="F22" s="4">
        <v>1.0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9</v>
      </c>
      <c r="E23" s="4">
        <v>8.0</v>
      </c>
      <c r="F23" s="4">
        <v>1.0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9</v>
      </c>
      <c r="E24" s="4">
        <v>8.0</v>
      </c>
      <c r="F24" s="4">
        <v>1.0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9</v>
      </c>
      <c r="E26" s="4">
        <v>8.0</v>
      </c>
      <c r="F26" s="4">
        <v>1.0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9</v>
      </c>
      <c r="E27" s="4">
        <v>8.0</v>
      </c>
      <c r="F27" s="4">
        <v>1.0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9</v>
      </c>
      <c r="E28" s="4">
        <v>8.0</v>
      </c>
      <c r="F28" s="4">
        <v>1.0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9</v>
      </c>
      <c r="E29" s="4">
        <v>8.0</v>
      </c>
      <c r="F29" s="4">
        <v>1.0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3640128.56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9</v>
      </c>
      <c r="E30" s="4">
        <v>8.0</v>
      </c>
      <c r="F30" s="4">
        <v>1.0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9</v>
      </c>
      <c r="E31" s="4">
        <v>8.0</v>
      </c>
      <c r="F31" s="4">
        <v>1.0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1</v>
      </c>
      <c r="C34" s="4">
        <v>1</v>
      </c>
      <c r="D34" s="4">
        <v>9</v>
      </c>
      <c r="E34" s="4">
        <v>8.0</v>
      </c>
      <c r="F34" s="4">
        <v>1.0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3300066.0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9</v>
      </c>
      <c r="E38" s="4">
        <v>8.0</v>
      </c>
      <c r="F38" s="4">
        <v>1.0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144</v>
      </c>
      <c r="E39" s="9">
        <v>128.0</v>
      </c>
      <c r="F39" s="9">
        <v>16.0</v>
      </c>
      <c r="G39" s="9">
        <v>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3300100.0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126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127</v>
      </c>
      <c r="N4" s="10" t="s">
        <v>5</v>
      </c>
      <c r="O4" s="10">
        <v>221000315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373612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5953469.65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5613407.0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5613400.0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136</v>
      </c>
      <c r="N4" s="10" t="s">
        <v>5</v>
      </c>
      <c r="O4" s="10">
        <v>251100035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2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3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4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5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6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7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140</v>
      </c>
      <c r="N4" s="10" t="s">
        <v>5</v>
      </c>
      <c r="O4" s="10">
        <v>251100023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ROUNDDOWN(-(117675.00),0)</f>
        <v>-117675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7387277.0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7387300.0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146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147</v>
      </c>
      <c r="N4" s="10" t="s">
        <v>5</v>
      </c>
      <c r="O4" s="10">
        <v>251100044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321822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3372137.09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3032074.0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3032100.0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154</v>
      </c>
      <c r="N4" s="10" t="s">
        <v>5</v>
      </c>
      <c r="O4" s="10">
        <v>251100039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156</v>
      </c>
      <c r="N4" s="10" t="s">
        <v>5</v>
      </c>
      <c r="O4" s="10">
        <v>251100086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159</v>
      </c>
      <c r="N4" s="10" t="s">
        <v>5</v>
      </c>
      <c r="O4" s="10">
        <v>251100055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3725789.0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162</v>
      </c>
      <c r="N10" s="25">
        <v>646090.6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163</v>
      </c>
      <c r="N11" s="25">
        <v>2584362.38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3230453.0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164</v>
      </c>
      <c r="N17" s="25">
        <v>132000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164</v>
      </c>
      <c r="N18" s="25">
        <v>220000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352000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7512821.77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ROUNDDOWN(-(75128.00),0)</f>
        <v>-75128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8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9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7097631.0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22</v>
      </c>
      <c r="D39" s="9">
        <v>264</v>
      </c>
      <c r="E39" s="9">
        <v>176.0</v>
      </c>
      <c r="F39" s="9">
        <v>22.0</v>
      </c>
      <c r="G39" s="9">
        <v>66.0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7097600.0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167</v>
      </c>
      <c r="N4" s="10" t="s">
        <v>5</v>
      </c>
      <c r="O4" s="10">
        <v>250900026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173</v>
      </c>
      <c r="N4" s="10" t="s">
        <v>5</v>
      </c>
      <c r="O4" s="10">
        <v>251100045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177</v>
      </c>
      <c r="N4" s="10" t="s">
        <v>5</v>
      </c>
      <c r="O4" s="10">
        <v>251100088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180</v>
      </c>
      <c r="N4" s="10" t="s">
        <v>5</v>
      </c>
      <c r="O4" s="10">
        <v>251100078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82806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919771.33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579708.0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183</v>
      </c>
      <c r="N4" s="10" t="s">
        <v>5</v>
      </c>
      <c r="O4" s="10">
        <v>251100029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415016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6311066.48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ROUNDDOWN(-(15777.00),0)</f>
        <v>-15777</v>
      </c>
      <c r="P31" s="10"/>
      <c r="Q31" s="10"/>
    </row>
    <row r="32" spans="1:19">
      <c r="A32" s="6">
        <v>9</v>
      </c>
      <c r="B32" s="4">
        <v>3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4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5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6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7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8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5955227.0</v>
      </c>
      <c r="P37" s="10"/>
      <c r="Q37" s="10"/>
    </row>
    <row r="38" spans="1:19">
      <c r="A38" s="6">
        <v>15</v>
      </c>
      <c r="B38" s="4">
        <v>9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5955200.0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188</v>
      </c>
      <c r="N4" s="10" t="s">
        <v>5</v>
      </c>
      <c r="O4" s="10">
        <v>251100030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1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125</v>
      </c>
      <c r="N19" s="25">
        <v>406450</v>
      </c>
      <c r="O19" s="25"/>
      <c r="P19" s="10"/>
      <c r="Q19" s="10"/>
    </row>
    <row r="20" spans="1:19">
      <c r="A20" s="6">
        <v>27</v>
      </c>
      <c r="B20" s="4">
        <v>2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694450</v>
      </c>
      <c r="P22" s="10"/>
      <c r="Q22" s="10"/>
    </row>
    <row r="23" spans="1:19">
      <c r="A23" s="6">
        <v>30</v>
      </c>
      <c r="B23" s="4">
        <v>5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6590500.48</v>
      </c>
      <c r="P29" s="10"/>
      <c r="Q29" s="10"/>
    </row>
    <row r="30" spans="1:19">
      <c r="A30" s="6">
        <v>7</v>
      </c>
      <c r="B30" s="4">
        <v>3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ROUNDDOWN(-(65905.00),0)</f>
        <v>-65905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6184533.0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6184500.0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192</v>
      </c>
      <c r="N4" s="10" t="s">
        <v>5</v>
      </c>
      <c r="O4" s="10">
        <v>251100057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196</v>
      </c>
      <c r="N19" s="25">
        <v>152419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248419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2350155.62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2010093.0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2010100.0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198</v>
      </c>
      <c r="N4" s="10" t="s">
        <v>5</v>
      </c>
      <c r="O4" s="10">
        <v>251100040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200</v>
      </c>
      <c r="N4" s="10" t="s">
        <v>5</v>
      </c>
      <c r="O4" s="10">
        <v>251100026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4233851.0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202</v>
      </c>
      <c r="N10" s="25">
        <v>734193.86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3670969.0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204</v>
      </c>
      <c r="N17" s="25">
        <v>150000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204</v>
      </c>
      <c r="N18" s="25">
        <v>250000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7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628628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8738028.23</v>
      </c>
      <c r="P29" s="10"/>
      <c r="Q29" s="10"/>
    </row>
    <row r="30" spans="1:19">
      <c r="A30" s="6">
        <v>7</v>
      </c>
      <c r="B30" s="4">
        <v>8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9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ROUNDDOWN(-(87380.00),0)</f>
        <v>-87380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8310585.0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25</v>
      </c>
      <c r="D39" s="9">
        <v>300</v>
      </c>
      <c r="E39" s="9">
        <v>200.0</v>
      </c>
      <c r="F39" s="9">
        <v>25.0</v>
      </c>
      <c r="G39" s="9">
        <v>75.0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8310600.0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205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206</v>
      </c>
      <c r="N4" s="10" t="s">
        <v>5</v>
      </c>
      <c r="O4" s="10">
        <v>251100022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211</v>
      </c>
      <c r="N19" s="25">
        <v>482659</v>
      </c>
      <c r="O19" s="25"/>
      <c r="P19" s="10"/>
      <c r="Q19" s="10"/>
    </row>
    <row r="20" spans="1:19">
      <c r="A20" s="6">
        <v>27</v>
      </c>
      <c r="B20" s="4">
        <v>3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802659</v>
      </c>
      <c r="P22" s="10"/>
      <c r="Q22" s="10"/>
    </row>
    <row r="23" spans="1:19">
      <c r="A23" s="6">
        <v>30</v>
      </c>
      <c r="B23" s="4">
        <v>6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7331095.13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ROUNDDOWN(-(91638.00),0)</f>
        <v>-91638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6899394.0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6899400.0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214</v>
      </c>
      <c r="N4" s="10" t="s">
        <v>5</v>
      </c>
      <c r="O4" s="10">
        <v>251100079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252209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3934909.73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3594847.0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3594800.0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219</v>
      </c>
      <c r="N4" s="10" t="s">
        <v>5</v>
      </c>
      <c r="O4" s="10">
        <v>251100037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220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5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6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9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>
        <v>9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223</v>
      </c>
      <c r="N4" s="10" t="s">
        <v>5</v>
      </c>
      <c r="O4" s="10">
        <v>251100054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144000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3194315.09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2854252.0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2854300.0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226</v>
      </c>
      <c r="N4" s="10" t="s">
        <v>5</v>
      </c>
      <c r="O4" s="10">
        <v>251100087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1</v>
      </c>
      <c r="D9" s="4">
        <v>12</v>
      </c>
      <c r="E9" s="4">
        <v>0.0</v>
      </c>
      <c r="F9" s="4">
        <v>0.0</v>
      </c>
      <c r="G9" s="4">
        <v>8.0</v>
      </c>
      <c r="H9" s="4">
        <v>1.0</v>
      </c>
      <c r="I9" s="4">
        <v>3.0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1</v>
      </c>
      <c r="D10" s="4">
        <v>12</v>
      </c>
      <c r="E10" s="4">
        <v>0.0</v>
      </c>
      <c r="F10" s="4">
        <v>0.0</v>
      </c>
      <c r="G10" s="4">
        <v>8.0</v>
      </c>
      <c r="H10" s="4">
        <v>1.0</v>
      </c>
      <c r="I10" s="4">
        <v>3.0</v>
      </c>
      <c r="K10" s="10" t="s">
        <v>27</v>
      </c>
      <c r="L10" s="10"/>
      <c r="M10" s="25" t="s">
        <v>228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1</v>
      </c>
      <c r="D11" s="4">
        <v>12</v>
      </c>
      <c r="E11" s="4">
        <v>0.0</v>
      </c>
      <c r="F11" s="4">
        <v>0.0</v>
      </c>
      <c r="G11" s="4">
        <v>8.0</v>
      </c>
      <c r="H11" s="4">
        <v>1.0</v>
      </c>
      <c r="I11" s="4">
        <v>3.0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1</v>
      </c>
      <c r="D12" s="4">
        <v>12</v>
      </c>
      <c r="E12" s="4">
        <v>0.0</v>
      </c>
      <c r="F12" s="4">
        <v>0.0</v>
      </c>
      <c r="G12" s="4">
        <v>8.0</v>
      </c>
      <c r="H12" s="4">
        <v>1.0</v>
      </c>
      <c r="I12" s="4">
        <v>3.0</v>
      </c>
      <c r="K12" s="10" t="s">
        <v>31</v>
      </c>
      <c r="L12" s="10"/>
      <c r="M12" s="25" t="s">
        <v>229</v>
      </c>
      <c r="N12" s="25">
        <v>528619.58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1</v>
      </c>
      <c r="D13" s="4">
        <v>12</v>
      </c>
      <c r="E13" s="4">
        <v>0.0</v>
      </c>
      <c r="F13" s="4">
        <v>0.0</v>
      </c>
      <c r="G13" s="4">
        <v>8.0</v>
      </c>
      <c r="H13" s="4">
        <v>1.0</v>
      </c>
      <c r="I13" s="4">
        <v>3.0</v>
      </c>
      <c r="K13" s="10" t="s">
        <v>33</v>
      </c>
      <c r="L13" s="10"/>
      <c r="M13" s="25" t="s">
        <v>230</v>
      </c>
      <c r="N13" s="25">
        <v>2114478.31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1</v>
      </c>
      <c r="D14" s="4">
        <v>12</v>
      </c>
      <c r="E14" s="4">
        <v>0.0</v>
      </c>
      <c r="F14" s="4">
        <v>0.0</v>
      </c>
      <c r="G14" s="4">
        <v>8.0</v>
      </c>
      <c r="H14" s="4">
        <v>1.0</v>
      </c>
      <c r="I14" s="4">
        <v>3.0</v>
      </c>
      <c r="K14" s="13" t="s">
        <v>35</v>
      </c>
      <c r="L14" s="13"/>
      <c r="M14" s="26"/>
      <c r="N14" s="26"/>
      <c r="O14" s="26">
        <v>5609241.0</v>
      </c>
      <c r="P14" s="10"/>
      <c r="Q14" s="10"/>
    </row>
    <row r="15" spans="1:19">
      <c r="A15" s="6">
        <v>22</v>
      </c>
      <c r="B15" s="4" t="s">
        <v>39</v>
      </c>
      <c r="C15" s="4">
        <v>1</v>
      </c>
      <c r="D15" s="4">
        <v>12</v>
      </c>
      <c r="E15" s="4">
        <v>0.0</v>
      </c>
      <c r="F15" s="4">
        <v>0.0</v>
      </c>
      <c r="G15" s="4">
        <v>8.0</v>
      </c>
      <c r="H15" s="4">
        <v>1.0</v>
      </c>
      <c r="I15" s="4">
        <v>3.0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1</v>
      </c>
      <c r="D16" s="4">
        <v>12</v>
      </c>
      <c r="E16" s="4">
        <v>0.0</v>
      </c>
      <c r="F16" s="4">
        <v>0.0</v>
      </c>
      <c r="G16" s="4">
        <v>8.0</v>
      </c>
      <c r="H16" s="4">
        <v>1.0</v>
      </c>
      <c r="I16" s="4">
        <v>3.0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1</v>
      </c>
      <c r="D17" s="4">
        <v>12</v>
      </c>
      <c r="E17" s="4">
        <v>0.0</v>
      </c>
      <c r="F17" s="4">
        <v>0.0</v>
      </c>
      <c r="G17" s="4">
        <v>8.0</v>
      </c>
      <c r="H17" s="4">
        <v>1.0</v>
      </c>
      <c r="I17" s="4">
        <v>3.0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7667361.26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ROUNDDOWN(-(115010.00),0)</f>
        <v>-115010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7212288.0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8.0</v>
      </c>
      <c r="F39" s="9">
        <v>1.0</v>
      </c>
      <c r="G39" s="9">
        <v>75.0</v>
      </c>
      <c r="H39" s="9">
        <v>9.0</v>
      </c>
      <c r="I39" s="9">
        <v>27.0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7212300.0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232</v>
      </c>
      <c r="N4" s="10" t="s">
        <v>5</v>
      </c>
      <c r="O4" s="10">
        <v>251100076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237</v>
      </c>
      <c r="N4" s="10" t="s">
        <v>5</v>
      </c>
      <c r="O4" s="10">
        <v>251100038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240</v>
      </c>
      <c r="N4" s="10" t="s">
        <v>5</v>
      </c>
      <c r="O4" s="10">
        <v>251100069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242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243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245</v>
      </c>
      <c r="N4" s="10" t="s">
        <v>5</v>
      </c>
      <c r="O4" s="10">
        <v>251100024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5511795.0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5511800.0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248</v>
      </c>
      <c r="N4" s="10" t="s">
        <v>5</v>
      </c>
      <c r="O4" s="10">
        <v>251100084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251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427225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5058504.19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4718441.0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4718400.0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254</v>
      </c>
      <c r="N4" s="10" t="s">
        <v>5</v>
      </c>
      <c r="O4" s="10">
        <v>251100070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257</v>
      </c>
      <c r="N4" s="10" t="s">
        <v>5</v>
      </c>
      <c r="O4" s="10">
        <v>251100064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208000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4523086.38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4183023.0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4183000.0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260</v>
      </c>
      <c r="N4" s="10" t="s">
        <v>5</v>
      </c>
      <c r="O4" s="10">
        <v>251100073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263</v>
      </c>
      <c r="N4" s="10" t="s">
        <v>5</v>
      </c>
      <c r="O4" s="10">
        <v>251100036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7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8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9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5843988.0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5844000.0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266</v>
      </c>
      <c r="N4" s="10" t="s">
        <v>5</v>
      </c>
      <c r="O4" s="10">
        <v>251100031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270</v>
      </c>
      <c r="N4" s="10" t="s">
        <v>5</v>
      </c>
      <c r="O4" s="10">
        <v>251100082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272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273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276</v>
      </c>
      <c r="N4" s="10" t="s">
        <v>5</v>
      </c>
      <c r="O4" s="10">
        <v>251100046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228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278</v>
      </c>
      <c r="N11" s="25">
        <v>117471.02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101</v>
      </c>
      <c r="N17" s="25">
        <v>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101</v>
      </c>
      <c r="N18" s="25">
        <v>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536772.51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196710.0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</v>
      </c>
      <c r="D39" s="9">
        <v>12</v>
      </c>
      <c r="E39" s="9">
        <v>8.0</v>
      </c>
      <c r="F39" s="9">
        <v>1.0</v>
      </c>
      <c r="G39" s="9">
        <v>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196700.0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280</v>
      </c>
      <c r="N4" s="10" t="s">
        <v>5</v>
      </c>
      <c r="O4" s="10">
        <v>251200006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283</v>
      </c>
      <c r="O31" s="25">
        <f>ROUNDDOWN(-(29259.00),0)</f>
        <v>-29259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5482536.0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5482500.0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285</v>
      </c>
      <c r="N4" s="10" t="s">
        <v>5</v>
      </c>
      <c r="O4" s="10">
        <v>250700039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288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251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292</v>
      </c>
      <c r="N4" s="10" t="s">
        <v>5</v>
      </c>
      <c r="O4" s="10">
        <v>251100068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512837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4827923.38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4487860.0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4487900.0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295</v>
      </c>
      <c r="N4" s="10" t="s">
        <v>5</v>
      </c>
      <c r="O4" s="10">
        <v>251100034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4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7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8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9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283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298</v>
      </c>
      <c r="N4" s="10" t="s">
        <v>5</v>
      </c>
      <c r="O4" s="10">
        <v>251100027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6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301</v>
      </c>
      <c r="N4" s="10" t="s">
        <v>5</v>
      </c>
      <c r="O4" s="10">
        <v>251100056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868965.33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528902.0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528900.0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304</v>
      </c>
      <c r="N4" s="10" t="s">
        <v>5</v>
      </c>
      <c r="O4" s="10">
        <v>251100041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353822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4036522.73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3696460.0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3696500.0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307</v>
      </c>
      <c r="N4" s="10" t="s">
        <v>5</v>
      </c>
      <c r="O4" s="10">
        <v>251100020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3556435.0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309</v>
      </c>
      <c r="N10" s="25">
        <v>616722.84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310</v>
      </c>
      <c r="N11" s="25">
        <v>2466891.36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3083614.0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311</v>
      </c>
      <c r="N17" s="25">
        <v>126000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311</v>
      </c>
      <c r="N18" s="25">
        <v>210000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7180628.94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283</v>
      </c>
      <c r="O31" s="25">
        <f>ROUNDDOWN(-(35903.00),0)</f>
        <v>-35903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6804663.0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21</v>
      </c>
      <c r="D39" s="9">
        <v>252</v>
      </c>
      <c r="E39" s="9">
        <v>168.0</v>
      </c>
      <c r="F39" s="9">
        <v>21.0</v>
      </c>
      <c r="G39" s="9">
        <v>63.0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6804700.0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313</v>
      </c>
      <c r="N4" s="10" t="s">
        <v>5</v>
      </c>
      <c r="O4" s="10">
        <v>251100018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283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7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8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9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316</v>
      </c>
      <c r="N4" s="10" t="s">
        <v>5</v>
      </c>
      <c r="O4" s="10">
        <v>251100043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194806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3245121.09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2905058.0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2905100.0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319</v>
      </c>
      <c r="N4" s="10" t="s">
        <v>5</v>
      </c>
      <c r="O4" s="10">
        <v>251100025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321</v>
      </c>
      <c r="N10" s="25">
        <v>881032.63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322</v>
      </c>
      <c r="N11" s="25">
        <v>3524130.52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4405163.0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323</v>
      </c>
      <c r="N17" s="25">
        <v>180000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323</v>
      </c>
      <c r="N18" s="25">
        <v>300000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480000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10170364.34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145</v>
      </c>
      <c r="O31" s="25">
        <f>ROUNDDOWN(-(152555.00),0)</f>
        <v>-152555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9677746.0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30</v>
      </c>
      <c r="D39" s="9">
        <v>360</v>
      </c>
      <c r="E39" s="9">
        <v>240.0</v>
      </c>
      <c r="F39" s="9">
        <v>30.0</v>
      </c>
      <c r="G39" s="9">
        <v>90.0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9677700.0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325</v>
      </c>
      <c r="N4" s="10" t="s">
        <v>5</v>
      </c>
      <c r="O4" s="10">
        <v>250700037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1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2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5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8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9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132</v>
      </c>
      <c r="N19" s="25">
        <v>431853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703853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6283710.65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ROUNDDOWN(-(15709.00),0)</f>
        <v>-15709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5927939.0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5927900.0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328</v>
      </c>
      <c r="N4" s="10" t="s">
        <v>5</v>
      </c>
      <c r="O4" s="10">
        <v>251100080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330</v>
      </c>
      <c r="N11" s="25">
        <v>1801222.27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2212371.0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4</v>
      </c>
      <c r="C16" s="4">
        <v>1</v>
      </c>
      <c r="D16" s="4">
        <v>14</v>
      </c>
      <c r="E16" s="4">
        <v>8.0</v>
      </c>
      <c r="F16" s="4">
        <v>1.0</v>
      </c>
      <c r="G16" s="4">
        <v>5.0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5</v>
      </c>
      <c r="C17" s="4">
        <v>1</v>
      </c>
      <c r="D17" s="4">
        <v>14</v>
      </c>
      <c r="E17" s="4">
        <v>8.0</v>
      </c>
      <c r="F17" s="4">
        <v>1.0</v>
      </c>
      <c r="G17" s="4">
        <v>5.0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6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325612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5113519.22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4773456.0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172</v>
      </c>
      <c r="E39" s="9">
        <v>112.0</v>
      </c>
      <c r="F39" s="9">
        <v>14.0</v>
      </c>
      <c r="G39" s="9">
        <v>46.0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4773500.0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332</v>
      </c>
      <c r="N4" s="10" t="s">
        <v>5</v>
      </c>
      <c r="O4" s="10">
        <v>251100032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2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335</v>
      </c>
      <c r="N4" s="10" t="s">
        <v>5</v>
      </c>
      <c r="O4" s="10">
        <v>251100091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 t="s">
        <v>25</v>
      </c>
      <c r="D9" s="4">
        <v>12</v>
      </c>
      <c r="E9" s="4">
        <v>0.0</v>
      </c>
      <c r="F9" s="4">
        <v>0.0</v>
      </c>
      <c r="G9" s="4">
        <v>8.0</v>
      </c>
      <c r="H9" s="4">
        <v>1.0</v>
      </c>
      <c r="I9" s="4">
        <v>3.0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 t="s">
        <v>25</v>
      </c>
      <c r="D10" s="4">
        <v>12</v>
      </c>
      <c r="E10" s="4">
        <v>0.0</v>
      </c>
      <c r="F10" s="4">
        <v>0.0</v>
      </c>
      <c r="G10" s="4">
        <v>8.0</v>
      </c>
      <c r="H10" s="4">
        <v>1.0</v>
      </c>
      <c r="I10" s="4">
        <v>3.0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 t="s">
        <v>25</v>
      </c>
      <c r="D11" s="4">
        <v>12</v>
      </c>
      <c r="E11" s="4">
        <v>0.0</v>
      </c>
      <c r="F11" s="4">
        <v>0.0</v>
      </c>
      <c r="G11" s="4">
        <v>8.0</v>
      </c>
      <c r="H11" s="4">
        <v>1.0</v>
      </c>
      <c r="I11" s="4">
        <v>3.0</v>
      </c>
      <c r="K11" s="10" t="s">
        <v>29</v>
      </c>
      <c r="L11" s="10"/>
      <c r="M11" s="25" t="s">
        <v>337</v>
      </c>
      <c r="N11" s="25">
        <v>2740990.4</v>
      </c>
      <c r="O11" s="25"/>
      <c r="P11" s="10"/>
      <c r="Q11" s="10"/>
    </row>
    <row r="12" spans="1:19">
      <c r="A12" s="6">
        <v>19</v>
      </c>
      <c r="B12" s="4" t="s">
        <v>39</v>
      </c>
      <c r="C12" s="4" t="s">
        <v>25</v>
      </c>
      <c r="D12" s="4">
        <v>12</v>
      </c>
      <c r="E12" s="4">
        <v>0.0</v>
      </c>
      <c r="F12" s="4">
        <v>0.0</v>
      </c>
      <c r="G12" s="4">
        <v>8.0</v>
      </c>
      <c r="H12" s="4">
        <v>1.0</v>
      </c>
      <c r="I12" s="4">
        <v>3.0</v>
      </c>
      <c r="K12" s="10" t="s">
        <v>31</v>
      </c>
      <c r="L12" s="10"/>
      <c r="M12" s="25" t="s">
        <v>338</v>
      </c>
      <c r="N12" s="25">
        <v>293677.54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339</v>
      </c>
      <c r="N13" s="25">
        <v>1174710.17</v>
      </c>
      <c r="O13" s="25"/>
      <c r="P13" s="10"/>
      <c r="Q13" s="10"/>
    </row>
    <row r="14" spans="1:19">
      <c r="A14" s="6">
        <v>21</v>
      </c>
      <c r="B14" s="4">
        <v>1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4503056.0</v>
      </c>
      <c r="P14" s="10"/>
      <c r="Q14" s="10"/>
    </row>
    <row r="15" spans="1:19">
      <c r="A15" s="6">
        <v>22</v>
      </c>
      <c r="B15" s="4">
        <v>2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1</v>
      </c>
      <c r="D19" s="4">
        <v>12</v>
      </c>
      <c r="E19" s="4">
        <v>0.0</v>
      </c>
      <c r="F19" s="4">
        <v>0.0</v>
      </c>
      <c r="G19" s="4">
        <v>8.0</v>
      </c>
      <c r="H19" s="4">
        <v>1.0</v>
      </c>
      <c r="I19" s="4">
        <v>3.0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367016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340</v>
      </c>
      <c r="L26" s="10"/>
      <c r="M26" s="25"/>
      <c r="N26" s="25">
        <v>-677416.2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6937545.89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ROUNDDOWN(-(86719.00),0)</f>
        <v>-86719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6510764.0</v>
      </c>
      <c r="P37" s="10"/>
      <c r="Q37" s="10"/>
    </row>
    <row r="38" spans="1:19">
      <c r="A38" s="6">
        <v>15</v>
      </c>
      <c r="B38" s="4">
        <v>2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80.0</v>
      </c>
      <c r="F39" s="9">
        <v>10.0</v>
      </c>
      <c r="G39" s="9">
        <v>70.0</v>
      </c>
      <c r="H39" s="9">
        <v>5.0</v>
      </c>
      <c r="I39" s="9">
        <v>15.0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6510800.0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342</v>
      </c>
      <c r="N4" s="10" t="s">
        <v>5</v>
      </c>
      <c r="O4" s="10">
        <v>251100050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118</v>
      </c>
      <c r="N19" s="25">
        <v>330240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538240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4853326.38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4513263.0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4513300.0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345</v>
      </c>
      <c r="N4" s="10" t="s">
        <v>5</v>
      </c>
      <c r="O4" s="10">
        <v>251100072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446031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4444924.55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4104862.0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4104900.0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348</v>
      </c>
      <c r="N4" s="10" t="s">
        <v>5</v>
      </c>
      <c r="O4" s="10">
        <v>251100053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4726311.38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4386248.0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4386200.0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351</v>
      </c>
      <c r="N4" s="10" t="s">
        <v>5</v>
      </c>
      <c r="O4" s="10">
        <v>251200005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98806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1251964.15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911901.0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911900.0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354</v>
      </c>
      <c r="N4" s="10" t="s">
        <v>5</v>
      </c>
      <c r="O4" s="10">
        <v>251100077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>
        <v>3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357</v>
      </c>
      <c r="N4" s="10" t="s">
        <v>5</v>
      </c>
      <c r="O4" s="10">
        <v>251100019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1879536.28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361</v>
      </c>
      <c r="N4" s="10" t="s">
        <v>5</v>
      </c>
      <c r="O4" s="10">
        <v>251100081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362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4403205.0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364</v>
      </c>
      <c r="N10" s="25">
        <v>763561.61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365</v>
      </c>
      <c r="N11" s="25">
        <v>3054246.45</v>
      </c>
      <c r="O11" s="25"/>
      <c r="P11" s="10"/>
      <c r="Q11" s="10"/>
    </row>
    <row r="12" spans="1:19">
      <c r="A12" s="6">
        <v>19</v>
      </c>
      <c r="B12" s="4">
        <v>3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3817808.0</v>
      </c>
      <c r="P14" s="10"/>
      <c r="Q14" s="10"/>
    </row>
    <row r="15" spans="1:19">
      <c r="A15" s="6">
        <v>22</v>
      </c>
      <c r="B15" s="4">
        <v>6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366</v>
      </c>
      <c r="N17" s="25">
        <v>156000</v>
      </c>
      <c r="O17" s="25"/>
      <c r="P17" s="10"/>
      <c r="Q17" s="10"/>
    </row>
    <row r="18" spans="1:19">
      <c r="A18" s="6">
        <v>25</v>
      </c>
      <c r="B18" s="4">
        <v>9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366</v>
      </c>
      <c r="N18" s="25">
        <v>260000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416000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8841593.05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ROUNDDOWN(-(88415.00),0)</f>
        <v>-88415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8413115.0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26</v>
      </c>
      <c r="D39" s="9">
        <v>312</v>
      </c>
      <c r="E39" s="9">
        <v>208.0</v>
      </c>
      <c r="F39" s="9">
        <v>26.0</v>
      </c>
      <c r="G39" s="9">
        <v>78.0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8413100.0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368</v>
      </c>
      <c r="N4" s="10" t="s">
        <v>5</v>
      </c>
      <c r="O4" s="10">
        <v>251100051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272</v>
      </c>
      <c r="N10" s="25">
        <v>440516.32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273</v>
      </c>
      <c r="N11" s="25">
        <v>1762065.26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7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371</v>
      </c>
      <c r="N4" s="10" t="s">
        <v>5</v>
      </c>
      <c r="O4" s="10">
        <v>251100058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242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243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5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374</v>
      </c>
      <c r="N4" s="10" t="s">
        <v>5</v>
      </c>
      <c r="O4" s="10">
        <v>251100063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376</v>
      </c>
      <c r="N4" s="10" t="s">
        <v>5</v>
      </c>
      <c r="O4" s="10">
        <v>251100021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1879536.28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379</v>
      </c>
      <c r="N4" s="10" t="s">
        <v>5</v>
      </c>
      <c r="O4" s="10">
        <v>251100065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404628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4087328.73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3747266.0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3747300.0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382</v>
      </c>
      <c r="N4" s="10" t="s">
        <v>5</v>
      </c>
      <c r="O4" s="10">
        <v>251100083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6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532628</v>
      </c>
      <c r="P22" s="10"/>
      <c r="Q22" s="10"/>
    </row>
    <row r="23" spans="1:19">
      <c r="A23" s="6">
        <v>30</v>
      </c>
      <c r="B23" s="4">
        <v>9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6744871.3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186</v>
      </c>
      <c r="O31" s="25">
        <f>ROUNDDOWN(-(16862.00),0)</f>
        <v>-16862</v>
      </c>
      <c r="P31" s="10"/>
      <c r="Q31" s="10"/>
    </row>
    <row r="32" spans="1:19">
      <c r="A32" s="6">
        <v>9</v>
      </c>
      <c r="B32" s="4">
        <v>2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3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4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5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6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6387946.0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6387900.0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Agus Ahir Hasibuan</vt:lpstr>
      <vt:lpstr>Ahmad Fauzi Hasibuan</vt:lpstr>
      <vt:lpstr>Ahmad Juandi Nasution</vt:lpstr>
      <vt:lpstr>Ali Agusran Harahap</vt:lpstr>
      <vt:lpstr>Ali Usron Siregar</vt:lpstr>
      <vt:lpstr>Ali Wardana</vt:lpstr>
      <vt:lpstr>Alihot</vt:lpstr>
      <vt:lpstr>Amin Siregar</vt:lpstr>
      <vt:lpstr>Amir Husin</vt:lpstr>
      <vt:lpstr>Ammar Ansori Panjaitan</vt:lpstr>
      <vt:lpstr>Amoi Sani Samosir</vt:lpstr>
      <vt:lpstr>Amran Nasution</vt:lpstr>
      <vt:lpstr>Andes Putra Tunggal</vt:lpstr>
      <vt:lpstr>Ardiansah Siregar</vt:lpstr>
      <vt:lpstr>Ardiansyah Lubis</vt:lpstr>
      <vt:lpstr>Ardin Sormin</vt:lpstr>
      <vt:lpstr>Arlin Frengki Sihombing</vt:lpstr>
      <vt:lpstr>Arnold</vt:lpstr>
      <vt:lpstr>Berkat Jaya Zebua</vt:lpstr>
      <vt:lpstr>Daud Halomoan</vt:lpstr>
      <vt:lpstr>Dedi Santo Zebua</vt:lpstr>
      <vt:lpstr>Dodi Syaputra</vt:lpstr>
      <vt:lpstr>Doli Saputra Batubara</vt:lpstr>
      <vt:lpstr>Erdianto</vt:lpstr>
      <vt:lpstr>Erwin Syaputra Lubis</vt:lpstr>
      <vt:lpstr>Fauzi Hamonangan Sibuea</vt:lpstr>
      <vt:lpstr>Feri Hidayat</vt:lpstr>
      <vt:lpstr>Heldiansyah Panggabean</vt:lpstr>
      <vt:lpstr>Hendri Fitriadi Sagala</vt:lpstr>
      <vt:lpstr>Hendri Saputra</vt:lpstr>
      <vt:lpstr>Heri Hamjah</vt:lpstr>
      <vt:lpstr>Ikhwan Amin Pardede</vt:lpstr>
      <vt:lpstr>Ismail Sihombing</vt:lpstr>
      <vt:lpstr>Jamaluddin Pane</vt:lpstr>
      <vt:lpstr>Jumalin</vt:lpstr>
      <vt:lpstr>Khoirul Anwar Siregar</vt:lpstr>
      <vt:lpstr>Magrib Efendi Batu Bara</vt:lpstr>
      <vt:lpstr>Mandala Putra Hasibuan</vt:lpstr>
      <vt:lpstr>Marali Tua Simanungkalit</vt:lpstr>
      <vt:lpstr>Mardianto Rambe</vt:lpstr>
      <vt:lpstr>Mardiyanto</vt:lpstr>
      <vt:lpstr>Maria Simatupang</vt:lpstr>
      <vt:lpstr>Marlinus Waruhu</vt:lpstr>
      <vt:lpstr>Marwan Efendi</vt:lpstr>
      <vt:lpstr>Masriadi Galingging</vt:lpstr>
      <vt:lpstr>Miserrianus</vt:lpstr>
      <vt:lpstr>Muhammad Febrian Kosasih</vt:lpstr>
      <vt:lpstr>Muhammad Ifan</vt:lpstr>
      <vt:lpstr>Muhammad Rizal Siregar</vt:lpstr>
      <vt:lpstr>Muliadi</vt:lpstr>
      <vt:lpstr>Pardamean Lubis</vt:lpstr>
      <vt:lpstr>Rahmad Diki Harahap</vt:lpstr>
      <vt:lpstr>Rahmadsyah Siregar</vt:lpstr>
      <vt:lpstr>Redi Robert Siahaan</vt:lpstr>
      <vt:lpstr>Ridoan Siregar</vt:lpstr>
      <vt:lpstr>Riduwan Nainggolan</vt:lpstr>
      <vt:lpstr>Rito Siregar</vt:lpstr>
      <vt:lpstr>Ronaldo Simamora</vt:lpstr>
      <vt:lpstr>Ruth Lamey Marlina Pasaribu</vt:lpstr>
      <vt:lpstr>Sabarudin Pohan</vt:lpstr>
      <vt:lpstr>Saedar Mulia Lubis</vt:lpstr>
      <vt:lpstr>Sahlan Harahap</vt:lpstr>
      <vt:lpstr>Saut Halomoan Rambe</vt:lpstr>
      <vt:lpstr>Saut Pardamean Pulungan</vt:lpstr>
      <vt:lpstr>Stepan Dearmon Zebua</vt:lpstr>
      <vt:lpstr>Suar Efendi</vt:lpstr>
      <vt:lpstr>Suparmin</vt:lpstr>
      <vt:lpstr>Surya Agustus Silalahi</vt:lpstr>
      <vt:lpstr>Triadi Saputra</vt:lpstr>
      <vt:lpstr>Wahyudi</vt:lpstr>
      <vt:lpstr>Wahyudi Amanda</vt:lpstr>
      <vt:lpstr>Welda Herman Lubis</vt:lpstr>
      <vt:lpstr>Zainal Arifin Hasibuan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2026-01-05T14:25:40+07:00</dcterms:created>
  <dcterms:modified xsi:type="dcterms:W3CDTF">2026-01-05T14:25:40+07:00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