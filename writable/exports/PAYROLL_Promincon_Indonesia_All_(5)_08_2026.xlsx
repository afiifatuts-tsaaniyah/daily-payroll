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Ade Syahputra Wijaya Harahap" sheetId="1" r:id="rId4"/>
    <sheet name="Adrian Lubis" sheetId="2" r:id="rId5"/>
    <sheet name="Agus Ahir Hasibuan" sheetId="3" r:id="rId6"/>
    <sheet name="Ahmad Fauzi Hasibuan" sheetId="4" r:id="rId7"/>
    <sheet name="Ahmad Juandi Nasution" sheetId="5" r:id="rId8"/>
    <sheet name="Worksheet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<sst xmlns="http://schemas.openxmlformats.org/spreadsheetml/2006/main" uniqueCount="112">
  <si>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PT. SANGATI SOERYA SEJAHTERA</t>
  </si>
  <si>
    <t>Slip Gaji Karyawan</t>
  </si>
  <si>
    <t>PT : Promincon Indonesia</t>
  </si>
  <si>
    <t>NAMA</t>
  </si>
  <si>
    <t>Ade Syahputra Wijaya Harahap</t>
  </si>
  <si>
    <t>Id</t>
  </si>
  <si>
    <t>Periode : 16-07-2026 to 15-08-2026</t>
  </si>
  <si>
    <t>JABATAN</t>
  </si>
  <si>
    <t>Drilling Crew 703</t>
  </si>
  <si>
    <t xml:space="preserve">DEPT </t>
  </si>
  <si>
    <t>PMC_Martabe</t>
  </si>
  <si>
    <t>DATE</t>
  </si>
  <si>
    <t>ROSTER DAY</t>
  </si>
  <si>
    <t>SHIFT DAY</t>
  </si>
  <si>
    <t>HOURS TOTAL</t>
  </si>
  <si>
    <t>NT</t>
  </si>
  <si>
    <t>OVERTIME</t>
  </si>
  <si>
    <t>GAJI POKOK</t>
  </si>
  <si>
    <t>STATUS</t>
  </si>
  <si>
    <t>K0</t>
  </si>
  <si>
    <t>Base   : 52</t>
  </si>
  <si>
    <t>RATE/HOUR</t>
  </si>
  <si>
    <t>NPWP</t>
  </si>
  <si>
    <t>-</t>
  </si>
  <si>
    <t>Format : 02-06-53-53-07</t>
  </si>
  <si>
    <t>RO</t>
  </si>
  <si>
    <t>Upah</t>
  </si>
  <si>
    <t>OT 1</t>
  </si>
  <si>
    <t>9.0 x 1.5 x 19,578.50 = Rp.</t>
  </si>
  <si>
    <t>OT 2</t>
  </si>
  <si>
    <t>42.0 x 2.0 x 19,578.50 = Rp.</t>
  </si>
  <si>
    <t>OT 3</t>
  </si>
  <si>
    <t>2.0 x 3.0 x 19,578.50 = Rp.</t>
  </si>
  <si>
    <t>OT 4</t>
  </si>
  <si>
    <t>7.0 x 4.0 x 19,578.50 = Rp.</t>
  </si>
  <si>
    <t>OT TOTAL</t>
  </si>
  <si>
    <t>Tunjangan Kehadiran</t>
  </si>
  <si>
    <t>11 Hari</t>
  </si>
  <si>
    <t>Tunjangan Transport</t>
  </si>
  <si>
    <t>Tunjangan Shift Malam</t>
  </si>
  <si>
    <t>5 Hari</t>
  </si>
  <si>
    <t>Tunjangan</t>
  </si>
  <si>
    <t>THR</t>
  </si>
  <si>
    <t>BONUS TOTAL</t>
  </si>
  <si>
    <t>JKK &amp; JKM(2.04%)</t>
  </si>
  <si>
    <t>Iuran BPJS Kesehatan(4%)</t>
  </si>
  <si>
    <t>PN</t>
  </si>
  <si>
    <t>Potongan Absensi 0 Hari</t>
  </si>
  <si>
    <t>NS</t>
  </si>
  <si>
    <t>Adjustment In</t>
  </si>
  <si>
    <t>Adjustment Out</t>
  </si>
  <si>
    <t>TOTAL KOTOR</t>
  </si>
  <si>
    <t>Pajak Penghasilan</t>
  </si>
  <si>
    <t>A</t>
  </si>
  <si>
    <t>0.00%</t>
  </si>
  <si>
    <t>Iuran JHT BPJS TK(2%)</t>
  </si>
  <si>
    <t>Iuran BPJS Kesehatan(1%)</t>
  </si>
  <si>
    <t>Iuran JP TK(1%)</t>
  </si>
  <si>
    <t>Potong Pajak</t>
  </si>
  <si>
    <t>TOTAL</t>
  </si>
  <si>
    <t>Adj</t>
  </si>
  <si>
    <t>TOTAL OT</t>
  </si>
  <si>
    <t>Beban Hutang</t>
  </si>
  <si>
    <t>Pembulatan</t>
  </si>
  <si>
    <t>TOTAL TERIMA</t>
  </si>
  <si>
    <t>Dibayarkan Oleh</t>
  </si>
  <si>
    <t>Payroll/ Accounting</t>
  </si>
  <si>
    <t>Diterima Oleh Karyawan</t>
  </si>
  <si>
    <t>BRI : 533001015306534</t>
  </si>
  <si>
    <t>Adrian Lubis</t>
  </si>
  <si>
    <t>Drilling Crew 704</t>
  </si>
  <si>
    <t>TK0</t>
  </si>
  <si>
    <t>Format : 03-62-06-33-35</t>
  </si>
  <si>
    <t>11.0 x 1.5 x 19,578.50 = Rp.</t>
  </si>
  <si>
    <t>40.0 x 2.0 x 19,578.50 = Rp.</t>
  </si>
  <si>
    <t>1.0 x 3.0 x 19,578.50 = Rp.</t>
  </si>
  <si>
    <t>4.0 x 4.0 x 19,578.50 = Rp.</t>
  </si>
  <si>
    <t>12 Hari</t>
  </si>
  <si>
    <t>3 Hari</t>
  </si>
  <si>
    <t>PH</t>
  </si>
  <si>
    <t>BRI : 338401047575538</t>
  </si>
  <si>
    <t>Agus Ahir Hasibuan</t>
  </si>
  <si>
    <t>Drilling Crew 733</t>
  </si>
  <si>
    <t>Format : 01-05-36-53-53</t>
  </si>
  <si>
    <t>12.0 x 1.5 x 19,578.50 = Rp.</t>
  </si>
  <si>
    <t>51.0 x 2.0 x 19,578.50 = Rp.</t>
  </si>
  <si>
    <t>14 Hari</t>
  </si>
  <si>
    <t>8 Hari</t>
  </si>
  <si>
    <t>0.50%</t>
  </si>
  <si>
    <t>MANDIRI : 1830006307523</t>
  </si>
  <si>
    <t>Ahmad Fauzi Hasibuan</t>
  </si>
  <si>
    <t>K2</t>
  </si>
  <si>
    <t>Format : 02-44-05-54-34</t>
  </si>
  <si>
    <t>56.0 x 2.0 x 19,578.50 = Rp.</t>
  </si>
  <si>
    <t>3.0 x 3.0 x 19,578.50 = Rp.</t>
  </si>
  <si>
    <t>10.0 x 4.0 x 19,578.50 = Rp.</t>
  </si>
  <si>
    <t>4 Hari</t>
  </si>
  <si>
    <t>B</t>
  </si>
  <si>
    <t>0.25%</t>
  </si>
  <si>
    <t>MANDIRI : 1830006290265</t>
  </si>
  <si>
    <t>Ahmad Juandi Nasution</t>
  </si>
  <si>
    <t>Format : 54-53-53-06</t>
  </si>
  <si>
    <t>14.0 x 1.5 x 21,522.25 = Rp.</t>
  </si>
  <si>
    <t>57.0 x 2.0 x 21,522.25 = Rp.</t>
  </si>
  <si>
    <t>2.0 x 3.0 x 21,522.25 = Rp.</t>
  </si>
  <si>
    <t>7.0 x 4.0 x 21,522.25 = Rp.</t>
  </si>
  <si>
    <t>U</t>
  </si>
  <si>
    <t>16 Hari</t>
  </si>
  <si>
    <t>6 Hari</t>
  </si>
  <si>
    <t>Potongan Absensi 1 Hari</t>
  </si>
  <si>
    <t>1.25%</t>
  </si>
  <si>
    <t>BRI : 533001020055534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</si>
</sst>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0000FF"/>
      <name val="Calibri"/>
    </font>
    <font>
      <b val="0"/>
      <i val="1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0">
      <alignment horizontal="general" vertical="bottom" textRotation="0" wrapText="false" shrinkToFit="false"/>
    </xf>
    <xf xfId="0" fontId="5" numFmtId="4" fillId="0" borderId="0" applyFont="1" applyNumberFormat="1" applyFill="0" applyBorder="0" applyAlignment="0">
      <alignment horizontal="general" vertical="bottom" textRotation="0" wrapText="false" shrinkToFit="false"/>
    </xf>
    <xf xfId="0" fontId="6" numFmtId="4" fillId="0" borderId="0" applyFont="1" applyNumberFormat="1" applyFill="0" applyBorder="0" applyAlignment="0">
      <alignment horizontal="general" vertical="bottom" textRotation="0" wrapText="false" shrinkToFit="false"/>
    </xf>
    <xf xfId="0" fontId="7" numFmtId="4" fillId="0" borderId="2" applyFont="1" applyNumberFormat="1" applyFill="0" applyBorder="1" applyAlignment="0">
      <alignment horizontal="general" vertical="bottom" textRotation="0" wrapText="false" shrinkToFit="false"/>
    </xf>
    <xf xfId="0" fontId="8" numFmtId="4" fillId="0" borderId="0" applyFont="1" applyNumberFormat="1" applyFill="0" applyBorder="0" applyAlignment="1">
      <alignment horizontal="right" vertical="center" textRotation="0" wrapText="false" shrinkToFit="false"/>
    </xf>
    <xf xfId="0" fontId="6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479e55ae4695554eb72d4fb33f15e4e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479e55ae4695554eb72d4fb33f15e4e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479e55ae4695554eb72d4fb33f15e4e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479e55ae4695554eb72d4fb33f15e4e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b479e55ae4695554eb72d4fb33f15e4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4</v>
      </c>
      <c r="N4" s="10" t="s">
        <v>5</v>
      </c>
      <c r="O4" s="10">
        <v>251100048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25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1644594.24</v>
      </c>
      <c r="O11" s="25"/>
      <c r="P11" s="10"/>
      <c r="Q11" s="10"/>
    </row>
    <row r="12" spans="1:19">
      <c r="A12" s="6">
        <v>19</v>
      </c>
      <c r="B12" s="4" t="s">
        <v>25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117471.02</v>
      </c>
      <c r="O12" s="25"/>
      <c r="P12" s="10"/>
      <c r="Q12" s="10"/>
    </row>
    <row r="13" spans="1:19">
      <c r="A13" s="6">
        <v>20</v>
      </c>
      <c r="B13" s="4" t="s">
        <v>25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548198.08</v>
      </c>
      <c r="O13" s="25"/>
      <c r="P13" s="10"/>
      <c r="Q13" s="10"/>
    </row>
    <row r="14" spans="1:19">
      <c r="A14" s="6">
        <v>21</v>
      </c>
      <c r="B14" s="4" t="s">
        <v>25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2574573.0</v>
      </c>
      <c r="P14" s="10"/>
      <c r="Q14" s="10"/>
    </row>
    <row r="15" spans="1:19">
      <c r="A15" s="6">
        <v>22</v>
      </c>
      <c r="B15" s="4" t="s">
        <v>25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25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37</v>
      </c>
      <c r="N17" s="25">
        <v>66000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37</v>
      </c>
      <c r="N18" s="25">
        <v>110000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39</v>
      </c>
      <c r="L19" s="10"/>
      <c r="M19" s="27" t="s">
        <v>40</v>
      </c>
      <c r="N19" s="25">
        <v>127016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31</v>
      </c>
      <c r="B24" s="4" t="s">
        <v>25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1</v>
      </c>
      <c r="B25" s="4">
        <v>1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0.0</v>
      </c>
      <c r="O25" s="25"/>
      <c r="P25" s="10"/>
      <c r="Q25" s="10"/>
    </row>
    <row r="26" spans="1:19">
      <c r="A26" s="6">
        <v>2</v>
      </c>
      <c r="B26" s="4">
        <v>2</v>
      </c>
      <c r="C26" s="4" t="s">
        <v>46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47</v>
      </c>
      <c r="L26" s="10"/>
      <c r="M26" s="25"/>
      <c r="N26" s="25">
        <v>0</v>
      </c>
      <c r="O26" s="25"/>
      <c r="P26" s="10"/>
      <c r="Q26" s="10"/>
    </row>
    <row r="27" spans="1:19">
      <c r="A27" s="6">
        <v>3</v>
      </c>
      <c r="B27" s="4">
        <v>3</v>
      </c>
      <c r="C27" s="4" t="s">
        <v>48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0</v>
      </c>
      <c r="O27" s="25"/>
      <c r="P27" s="10"/>
      <c r="Q27" s="10"/>
    </row>
    <row r="28" spans="1:19">
      <c r="A28" s="6">
        <v>4</v>
      </c>
      <c r="B28" s="4">
        <v>4</v>
      </c>
      <c r="C28" s="4" t="s">
        <v>48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5</v>
      </c>
      <c r="B29" s="4">
        <v>5</v>
      </c>
      <c r="C29" s="4" t="s">
        <v>48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51</v>
      </c>
      <c r="L29" s="13"/>
      <c r="M29" s="26"/>
      <c r="N29" s="26"/>
      <c r="O29" s="26">
        <v>4809580.13</v>
      </c>
      <c r="P29" s="10"/>
      <c r="Q29" s="10"/>
    </row>
    <row r="30" spans="1:19">
      <c r="A30" s="6">
        <v>6</v>
      </c>
      <c r="B30" s="4" t="s">
        <v>25</v>
      </c>
      <c r="C30" s="4" t="s">
        <v>48</v>
      </c>
      <c r="D30" s="4">
        <v>12</v>
      </c>
      <c r="E30" s="4">
        <v>0.0</v>
      </c>
      <c r="F30" s="4">
        <v>0.0</v>
      </c>
      <c r="G30" s="4">
        <v>8.0</v>
      </c>
      <c r="H30" s="4">
        <v>1.0</v>
      </c>
      <c r="I30" s="4">
        <v>3.0</v>
      </c>
      <c r="K30" s="10"/>
      <c r="L30" s="10"/>
      <c r="M30" s="25"/>
      <c r="N30" s="25"/>
      <c r="O30" s="25"/>
      <c r="P30" s="10"/>
      <c r="Q30" s="10"/>
    </row>
    <row r="31" spans="1:19">
      <c r="A31" s="6">
        <v>7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53</v>
      </c>
      <c r="N31" s="28" t="s">
        <v>54</v>
      </c>
      <c r="O31" s="25">
        <f>ROUNDDOWN(-(0.00),0)</f>
        <v>0</v>
      </c>
      <c r="P31" s="10"/>
      <c r="Q31" s="10"/>
    </row>
    <row r="32" spans="1:19">
      <c r="A32" s="6">
        <v>8</v>
      </c>
      <c r="B32" s="4" t="s">
        <v>25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9</v>
      </c>
      <c r="B33" s="4" t="s">
        <v>25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10</v>
      </c>
      <c r="B34" s="4" t="s">
        <v>25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0</v>
      </c>
      <c r="P34" s="10"/>
      <c r="Q34" s="10"/>
    </row>
    <row r="35" spans="1:19">
      <c r="A35" s="6">
        <v>11</v>
      </c>
      <c r="B35" s="4" t="s">
        <v>25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0</v>
      </c>
      <c r="P35" s="10"/>
      <c r="Q35" s="10"/>
    </row>
    <row r="36" spans="1:19">
      <c r="A36" s="6">
        <v>12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13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4638871.0</v>
      </c>
      <c r="P37" s="10"/>
      <c r="Q37" s="10"/>
    </row>
    <row r="38" spans="1:19">
      <c r="A38" s="6">
        <v>14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6">
        <v>15</v>
      </c>
      <c r="B39" s="4" t="s">
        <v>25</v>
      </c>
      <c r="C39" s="4">
        <v>0</v>
      </c>
      <c r="D39" s="4">
        <v>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59</v>
      </c>
      <c r="B40" s="8"/>
      <c r="C40" s="9">
        <v>11</v>
      </c>
      <c r="D40" s="9">
        <v>132</v>
      </c>
      <c r="E40" s="9">
        <v>72.0</v>
      </c>
      <c r="F40" s="9">
        <v>9.0</v>
      </c>
      <c r="G40" s="9">
        <v>42.0</v>
      </c>
      <c r="H40" s="9">
        <v>2.0</v>
      </c>
      <c r="I40" s="9">
        <v>7.0</v>
      </c>
      <c r="K40" s="10" t="s">
        <v>60</v>
      </c>
      <c r="L40" s="10"/>
      <c r="M40" s="25"/>
      <c r="N40" s="25"/>
      <c r="O40" s="25">
        <v>0</v>
      </c>
      <c r="P40" s="10"/>
      <c r="Q40" s="10"/>
    </row>
    <row r="41" spans="1:19">
      <c r="A41" s="7" t="s">
        <v>61</v>
      </c>
      <c r="B41" s="8"/>
      <c r="C41" s="9">
        <v>60.0</v>
      </c>
      <c r="D41" s="9"/>
      <c r="E41" s="9"/>
      <c r="F41" s="9"/>
      <c r="G41" s="9"/>
      <c r="H41" s="9"/>
      <c r="I41" s="9"/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29</v>
      </c>
    </row>
    <row r="45" spans="1:19">
      <c r="K45" s="13" t="s">
        <v>64</v>
      </c>
      <c r="L45" s="13"/>
      <c r="M45" s="26"/>
      <c r="N45" s="26"/>
      <c r="O45" s="26">
        <v>4638900.0</v>
      </c>
    </row>
    <row r="46" spans="1:19">
      <c r="A46" s="14"/>
      <c r="B46" s="17"/>
      <c r="C46" s="17"/>
      <c r="D46" s="17"/>
      <c r="E46" s="17"/>
      <c r="F46" s="17"/>
      <c r="G46" s="17"/>
      <c r="H46" s="17"/>
      <c r="I46" s="20"/>
      <c r="M46" s="29"/>
      <c r="N46" s="29"/>
      <c r="O46" s="29"/>
    </row>
    <row r="47" spans="1:19">
      <c r="A47" s="15" t="s">
        <v>65</v>
      </c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/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 t="s">
        <v>66</v>
      </c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/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 t="s">
        <v>67</v>
      </c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/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 t="s">
        <v>4</v>
      </c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/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 t="s">
        <v>68</v>
      </c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5"/>
      <c r="B63" s="18"/>
      <c r="C63" s="18"/>
      <c r="D63" s="18"/>
      <c r="E63" s="18"/>
      <c r="F63" s="18"/>
      <c r="G63" s="18"/>
      <c r="H63" s="18"/>
      <c r="I63" s="21"/>
      <c r="M63" s="29"/>
      <c r="N63" s="29"/>
      <c r="O63" s="29"/>
    </row>
    <row r="64" spans="1:19">
      <c r="A64" s="16"/>
      <c r="B64" s="19"/>
      <c r="C64" s="19"/>
      <c r="D64" s="19"/>
      <c r="E64" s="19"/>
      <c r="F64" s="19"/>
      <c r="G64" s="19"/>
      <c r="H64" s="19"/>
      <c r="I64" s="22"/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1:I41"/>
    <mergeCell ref="A47:I47"/>
    <mergeCell ref="A50:I50"/>
    <mergeCell ref="A54:I54"/>
    <mergeCell ref="A58:I58"/>
    <mergeCell ref="A62:I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69</v>
      </c>
      <c r="N4" s="10" t="s">
        <v>5</v>
      </c>
      <c r="O4" s="10">
        <v>251100090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70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71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73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25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74</v>
      </c>
      <c r="N11" s="25">
        <v>1566280.23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75</v>
      </c>
      <c r="N12" s="25">
        <v>58735.51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76</v>
      </c>
      <c r="N13" s="25">
        <v>313256.05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2261317.0</v>
      </c>
      <c r="P14" s="10"/>
      <c r="Q14" s="10"/>
    </row>
    <row r="15" spans="1:19">
      <c r="A15" s="6">
        <v>22</v>
      </c>
      <c r="B15" s="4">
        <v>4</v>
      </c>
      <c r="C15" s="4" t="s">
        <v>48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5</v>
      </c>
      <c r="C16" s="4" t="s">
        <v>48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6</v>
      </c>
      <c r="C17" s="4" t="s">
        <v>48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77</v>
      </c>
      <c r="N17" s="25">
        <v>78000</v>
      </c>
      <c r="O17" s="25"/>
      <c r="P17" s="10"/>
      <c r="Q17" s="10"/>
    </row>
    <row r="18" spans="1:19">
      <c r="A18" s="6">
        <v>25</v>
      </c>
      <c r="B18" s="4" t="s">
        <v>25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77</v>
      </c>
      <c r="N18" s="25">
        <v>130000</v>
      </c>
      <c r="O18" s="25"/>
      <c r="P18" s="10"/>
      <c r="Q18" s="10"/>
    </row>
    <row r="19" spans="1:19">
      <c r="A19" s="6">
        <v>26</v>
      </c>
      <c r="B19" s="4" t="s">
        <v>25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39</v>
      </c>
      <c r="L19" s="10"/>
      <c r="M19" s="27" t="s">
        <v>78</v>
      </c>
      <c r="N19" s="25">
        <v>76209</v>
      </c>
      <c r="O19" s="25"/>
      <c r="P19" s="10"/>
      <c r="Q19" s="10"/>
    </row>
    <row r="20" spans="1:19">
      <c r="A20" s="6">
        <v>27</v>
      </c>
      <c r="B20" s="4" t="s">
        <v>25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25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31</v>
      </c>
      <c r="B24" s="4" t="s">
        <v>25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1</v>
      </c>
      <c r="B25" s="4" t="s">
        <v>25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0.0</v>
      </c>
      <c r="O25" s="25"/>
      <c r="P25" s="10"/>
      <c r="Q25" s="10"/>
    </row>
    <row r="26" spans="1:19">
      <c r="A26" s="6">
        <v>2</v>
      </c>
      <c r="B26" s="4" t="s">
        <v>79</v>
      </c>
      <c r="C26" s="4" t="s">
        <v>79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47</v>
      </c>
      <c r="L26" s="10"/>
      <c r="M26" s="25"/>
      <c r="N26" s="25">
        <v>0</v>
      </c>
      <c r="O26" s="25"/>
      <c r="P26" s="10"/>
      <c r="Q26" s="10"/>
    </row>
    <row r="27" spans="1:19">
      <c r="A27" s="6">
        <v>3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0</v>
      </c>
      <c r="O27" s="25"/>
      <c r="P27" s="10"/>
      <c r="Q27" s="10"/>
    </row>
    <row r="28" spans="1:19">
      <c r="A28" s="6">
        <v>4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5</v>
      </c>
      <c r="B29" s="4" t="s">
        <v>25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51</v>
      </c>
      <c r="L29" s="13"/>
      <c r="M29" s="26"/>
      <c r="N29" s="26"/>
      <c r="O29" s="26">
        <v>4646871.14</v>
      </c>
      <c r="P29" s="10"/>
      <c r="Q29" s="10"/>
    </row>
    <row r="30" spans="1:19">
      <c r="A30" s="6">
        <v>6</v>
      </c>
      <c r="B30" s="4" t="s">
        <v>25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7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53</v>
      </c>
      <c r="N31" s="28" t="s">
        <v>54</v>
      </c>
      <c r="O31" s="25">
        <f>ROUNDDOWN(-(0.00),0)</f>
        <v>0</v>
      </c>
      <c r="P31" s="10"/>
      <c r="Q31" s="10"/>
    </row>
    <row r="32" spans="1:19">
      <c r="A32" s="6">
        <v>8</v>
      </c>
      <c r="B32" s="4">
        <v>1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9</v>
      </c>
      <c r="B33" s="4">
        <v>2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10</v>
      </c>
      <c r="B34" s="4">
        <v>3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0</v>
      </c>
      <c r="P34" s="10"/>
      <c r="Q34" s="10"/>
    </row>
    <row r="35" spans="1:19">
      <c r="A35" s="6">
        <v>11</v>
      </c>
      <c r="B35" s="4" t="s">
        <v>25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0</v>
      </c>
      <c r="P35" s="10"/>
      <c r="Q35" s="10"/>
    </row>
    <row r="36" spans="1:19">
      <c r="A36" s="6">
        <v>12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13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4476162.0</v>
      </c>
      <c r="P37" s="10"/>
      <c r="Q37" s="10"/>
    </row>
    <row r="38" spans="1:19">
      <c r="A38" s="6">
        <v>14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6">
        <v>15</v>
      </c>
      <c r="B39" s="4" t="s">
        <v>25</v>
      </c>
      <c r="C39" s="4">
        <v>0</v>
      </c>
      <c r="D39" s="4">
        <v>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59</v>
      </c>
      <c r="B40" s="8"/>
      <c r="C40" s="9">
        <v>12</v>
      </c>
      <c r="D40" s="9">
        <v>144</v>
      </c>
      <c r="E40" s="9">
        <v>88.0</v>
      </c>
      <c r="F40" s="9">
        <v>11.0</v>
      </c>
      <c r="G40" s="9">
        <v>40.0</v>
      </c>
      <c r="H40" s="9">
        <v>1.0</v>
      </c>
      <c r="I40" s="9">
        <v>4.0</v>
      </c>
      <c r="K40" s="10" t="s">
        <v>60</v>
      </c>
      <c r="L40" s="10"/>
      <c r="M40" s="25"/>
      <c r="N40" s="25"/>
      <c r="O40" s="25">
        <v>0</v>
      </c>
      <c r="P40" s="10"/>
      <c r="Q40" s="10"/>
    </row>
    <row r="41" spans="1:19">
      <c r="A41" s="7" t="s">
        <v>61</v>
      </c>
      <c r="B41" s="8"/>
      <c r="C41" s="9">
        <v>56.0</v>
      </c>
      <c r="D41" s="9"/>
      <c r="E41" s="9"/>
      <c r="F41" s="9"/>
      <c r="G41" s="9"/>
      <c r="H41" s="9"/>
      <c r="I41" s="9"/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38</v>
      </c>
    </row>
    <row r="45" spans="1:19">
      <c r="K45" s="13" t="s">
        <v>64</v>
      </c>
      <c r="L45" s="13"/>
      <c r="M45" s="26"/>
      <c r="N45" s="26"/>
      <c r="O45" s="26">
        <v>4476200.0</v>
      </c>
    </row>
    <row r="46" spans="1:19">
      <c r="A46" s="14"/>
      <c r="B46" s="17"/>
      <c r="C46" s="17"/>
      <c r="D46" s="17"/>
      <c r="E46" s="17"/>
      <c r="F46" s="17"/>
      <c r="G46" s="17"/>
      <c r="H46" s="17"/>
      <c r="I46" s="20"/>
      <c r="M46" s="29"/>
      <c r="N46" s="29"/>
      <c r="O46" s="29"/>
    </row>
    <row r="47" spans="1:19">
      <c r="A47" s="15" t="s">
        <v>65</v>
      </c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/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 t="s">
        <v>66</v>
      </c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/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 t="s">
        <v>67</v>
      </c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/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 t="s">
        <v>69</v>
      </c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/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 t="s">
        <v>80</v>
      </c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5"/>
      <c r="B63" s="18"/>
      <c r="C63" s="18"/>
      <c r="D63" s="18"/>
      <c r="E63" s="18"/>
      <c r="F63" s="18"/>
      <c r="G63" s="18"/>
      <c r="H63" s="18"/>
      <c r="I63" s="21"/>
      <c r="M63" s="29"/>
      <c r="N63" s="29"/>
      <c r="O63" s="29"/>
    </row>
    <row r="64" spans="1:19">
      <c r="A64" s="16"/>
      <c r="B64" s="19"/>
      <c r="C64" s="19"/>
      <c r="D64" s="19"/>
      <c r="E64" s="19"/>
      <c r="F64" s="19"/>
      <c r="G64" s="19"/>
      <c r="H64" s="19"/>
      <c r="I64" s="22"/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1:I41"/>
    <mergeCell ref="A47:I47"/>
    <mergeCell ref="A50:I50"/>
    <mergeCell ref="A54:I54"/>
    <mergeCell ref="A58:I58"/>
    <mergeCell ref="A62:I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81</v>
      </c>
      <c r="N4" s="10" t="s">
        <v>5</v>
      </c>
      <c r="O4" s="10">
        <v>251100085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82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84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25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85</v>
      </c>
      <c r="N11" s="25">
        <v>1997007.29</v>
      </c>
      <c r="O11" s="25"/>
      <c r="P11" s="10"/>
      <c r="Q11" s="10"/>
    </row>
    <row r="12" spans="1:19">
      <c r="A12" s="6">
        <v>19</v>
      </c>
      <c r="B12" s="4" t="s">
        <v>25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117471.02</v>
      </c>
      <c r="O12" s="25"/>
      <c r="P12" s="10"/>
      <c r="Q12" s="10"/>
    </row>
    <row r="13" spans="1:19">
      <c r="A13" s="6">
        <v>20</v>
      </c>
      <c r="B13" s="4" t="s">
        <v>25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548198.08</v>
      </c>
      <c r="O13" s="25"/>
      <c r="P13" s="10"/>
      <c r="Q13" s="10"/>
    </row>
    <row r="14" spans="1:19">
      <c r="A14" s="6">
        <v>21</v>
      </c>
      <c r="B14" s="4" t="s">
        <v>25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3015089.0</v>
      </c>
      <c r="P14" s="10"/>
      <c r="Q14" s="10"/>
    </row>
    <row r="15" spans="1:19">
      <c r="A15" s="6">
        <v>22</v>
      </c>
      <c r="B15" s="4">
        <v>1</v>
      </c>
      <c r="C15" s="4" t="s">
        <v>48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48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48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36</v>
      </c>
      <c r="L17" s="10"/>
      <c r="M17" s="27" t="s">
        <v>86</v>
      </c>
      <c r="N17" s="25">
        <v>90000</v>
      </c>
      <c r="O17" s="25"/>
      <c r="P17" s="10"/>
      <c r="Q17" s="10"/>
    </row>
    <row r="18" spans="1:19">
      <c r="A18" s="6">
        <v>25</v>
      </c>
      <c r="B18" s="4" t="s">
        <v>25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86</v>
      </c>
      <c r="N18" s="25">
        <v>150000</v>
      </c>
      <c r="O18" s="25"/>
      <c r="P18" s="10"/>
      <c r="Q18" s="10"/>
    </row>
    <row r="19" spans="1:19">
      <c r="A19" s="6">
        <v>26</v>
      </c>
      <c r="B19" s="4" t="s">
        <v>25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39</v>
      </c>
      <c r="L19" s="10"/>
      <c r="M19" s="27" t="s">
        <v>87</v>
      </c>
      <c r="N19" s="25">
        <v>203225</v>
      </c>
      <c r="O19" s="25"/>
      <c r="P19" s="10"/>
      <c r="Q19" s="10"/>
    </row>
    <row r="20" spans="1:19">
      <c r="A20" s="6">
        <v>27</v>
      </c>
      <c r="B20" s="4" t="s">
        <v>25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25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31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1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0.0</v>
      </c>
      <c r="O25" s="25"/>
      <c r="P25" s="10"/>
      <c r="Q25" s="10"/>
    </row>
    <row r="26" spans="1:19">
      <c r="A26" s="6">
        <v>2</v>
      </c>
      <c r="B26" s="4" t="s">
        <v>79</v>
      </c>
      <c r="C26" s="4" t="s">
        <v>79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47</v>
      </c>
      <c r="L26" s="10"/>
      <c r="M26" s="25"/>
      <c r="N26" s="25">
        <v>0</v>
      </c>
      <c r="O26" s="25"/>
      <c r="P26" s="10"/>
      <c r="Q26" s="10"/>
    </row>
    <row r="27" spans="1:19">
      <c r="A27" s="6">
        <v>3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0</v>
      </c>
      <c r="O27" s="25"/>
      <c r="P27" s="10"/>
      <c r="Q27" s="10"/>
    </row>
    <row r="28" spans="1:19">
      <c r="A28" s="6">
        <v>4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5</v>
      </c>
      <c r="B29" s="4" t="s">
        <v>25</v>
      </c>
      <c r="C29" s="4">
        <v>1</v>
      </c>
      <c r="D29" s="4">
        <v>12</v>
      </c>
      <c r="E29" s="4">
        <v>0.0</v>
      </c>
      <c r="F29" s="4">
        <v>0.0</v>
      </c>
      <c r="G29" s="4">
        <v>8.0</v>
      </c>
      <c r="H29" s="4">
        <v>1.0</v>
      </c>
      <c r="I29" s="4">
        <v>3.0</v>
      </c>
      <c r="K29" s="13" t="s">
        <v>51</v>
      </c>
      <c r="L29" s="13"/>
      <c r="M29" s="26"/>
      <c r="N29" s="26"/>
      <c r="O29" s="26">
        <v>5898367.59</v>
      </c>
      <c r="P29" s="10"/>
      <c r="Q29" s="10"/>
    </row>
    <row r="30" spans="1:19">
      <c r="A30" s="6">
        <v>6</v>
      </c>
      <c r="B30" s="4" t="s">
        <v>25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7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53</v>
      </c>
      <c r="N31" s="28" t="s">
        <v>88</v>
      </c>
      <c r="O31" s="25">
        <f>ROUNDDOWN(-(29491.00),0)</f>
        <v>-29491</v>
      </c>
      <c r="P31" s="10"/>
      <c r="Q31" s="10"/>
    </row>
    <row r="32" spans="1:19">
      <c r="A32" s="6">
        <v>8</v>
      </c>
      <c r="B32" s="4">
        <v>1</v>
      </c>
      <c r="C32" s="4" t="s">
        <v>48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9</v>
      </c>
      <c r="B33" s="4">
        <v>2</v>
      </c>
      <c r="C33" s="4" t="s">
        <v>48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10</v>
      </c>
      <c r="B34" s="4">
        <v>3</v>
      </c>
      <c r="C34" s="4" t="s">
        <v>48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0</v>
      </c>
      <c r="P34" s="10"/>
      <c r="Q34" s="10"/>
    </row>
    <row r="35" spans="1:19">
      <c r="A35" s="6">
        <v>11</v>
      </c>
      <c r="B35" s="4">
        <v>4</v>
      </c>
      <c r="C35" s="4" t="s">
        <v>48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0</v>
      </c>
      <c r="P35" s="10"/>
      <c r="Q35" s="10"/>
    </row>
    <row r="36" spans="1:19">
      <c r="A36" s="6">
        <v>12</v>
      </c>
      <c r="B36" s="4">
        <v>5</v>
      </c>
      <c r="C36" s="4" t="s">
        <v>48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13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5698168.0</v>
      </c>
      <c r="P37" s="10"/>
      <c r="Q37" s="10"/>
    </row>
    <row r="38" spans="1:19">
      <c r="A38" s="6">
        <v>14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6">
        <v>15</v>
      </c>
      <c r="B39" s="4" t="s">
        <v>25</v>
      </c>
      <c r="C39" s="4">
        <v>0</v>
      </c>
      <c r="D39" s="4">
        <v>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59</v>
      </c>
      <c r="B40" s="8"/>
      <c r="C40" s="9">
        <v>14</v>
      </c>
      <c r="D40" s="9">
        <v>168</v>
      </c>
      <c r="E40" s="9">
        <v>96.0</v>
      </c>
      <c r="F40" s="9">
        <v>12.0</v>
      </c>
      <c r="G40" s="9">
        <v>51.0</v>
      </c>
      <c r="H40" s="9">
        <v>2.0</v>
      </c>
      <c r="I40" s="9">
        <v>7.0</v>
      </c>
      <c r="K40" s="10" t="s">
        <v>60</v>
      </c>
      <c r="L40" s="10"/>
      <c r="M40" s="25"/>
      <c r="N40" s="25"/>
      <c r="O40" s="25">
        <v>0</v>
      </c>
      <c r="P40" s="10"/>
      <c r="Q40" s="10"/>
    </row>
    <row r="41" spans="1:19">
      <c r="A41" s="7" t="s">
        <v>61</v>
      </c>
      <c r="B41" s="8"/>
      <c r="C41" s="9">
        <v>72.0</v>
      </c>
      <c r="D41" s="9"/>
      <c r="E41" s="9"/>
      <c r="F41" s="9"/>
      <c r="G41" s="9"/>
      <c r="H41" s="9"/>
      <c r="I41" s="9"/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32</v>
      </c>
    </row>
    <row r="45" spans="1:19">
      <c r="K45" s="13" t="s">
        <v>64</v>
      </c>
      <c r="L45" s="13"/>
      <c r="M45" s="26"/>
      <c r="N45" s="26"/>
      <c r="O45" s="26">
        <v>5698200.0</v>
      </c>
    </row>
    <row r="46" spans="1:19">
      <c r="A46" s="14"/>
      <c r="B46" s="17"/>
      <c r="C46" s="17"/>
      <c r="D46" s="17"/>
      <c r="E46" s="17"/>
      <c r="F46" s="17"/>
      <c r="G46" s="17"/>
      <c r="H46" s="17"/>
      <c r="I46" s="20"/>
      <c r="M46" s="29"/>
      <c r="N46" s="29"/>
      <c r="O46" s="29"/>
    </row>
    <row r="47" spans="1:19">
      <c r="A47" s="15" t="s">
        <v>65</v>
      </c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/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 t="s">
        <v>66</v>
      </c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/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 t="s">
        <v>67</v>
      </c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/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 t="s">
        <v>81</v>
      </c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/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 t="s">
        <v>89</v>
      </c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5"/>
      <c r="B63" s="18"/>
      <c r="C63" s="18"/>
      <c r="D63" s="18"/>
      <c r="E63" s="18"/>
      <c r="F63" s="18"/>
      <c r="G63" s="18"/>
      <c r="H63" s="18"/>
      <c r="I63" s="21"/>
      <c r="M63" s="29"/>
      <c r="N63" s="29"/>
      <c r="O63" s="29"/>
    </row>
    <row r="64" spans="1:19">
      <c r="A64" s="16"/>
      <c r="B64" s="19"/>
      <c r="C64" s="19"/>
      <c r="D64" s="19"/>
      <c r="E64" s="19"/>
      <c r="F64" s="19"/>
      <c r="G64" s="19"/>
      <c r="H64" s="19"/>
      <c r="I64" s="22"/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1:I41"/>
    <mergeCell ref="A47:I47"/>
    <mergeCell ref="A50:I50"/>
    <mergeCell ref="A54:I54"/>
    <mergeCell ref="A58:I58"/>
    <mergeCell ref="A62:I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90</v>
      </c>
      <c r="N4" s="10" t="s">
        <v>5</v>
      </c>
      <c r="O4" s="10">
        <v>251100042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91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73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1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93</v>
      </c>
      <c r="N11" s="25">
        <v>2192792.32</v>
      </c>
      <c r="O11" s="25"/>
      <c r="P11" s="10"/>
      <c r="Q11" s="10"/>
    </row>
    <row r="12" spans="1:19">
      <c r="A12" s="6">
        <v>19</v>
      </c>
      <c r="B12" s="4">
        <v>2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94</v>
      </c>
      <c r="N12" s="25">
        <v>176206.53</v>
      </c>
      <c r="O12" s="25"/>
      <c r="P12" s="10"/>
      <c r="Q12" s="10"/>
    </row>
    <row r="13" spans="1:19">
      <c r="A13" s="6">
        <v>20</v>
      </c>
      <c r="B13" s="4">
        <v>3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95</v>
      </c>
      <c r="N13" s="25">
        <v>783140.12</v>
      </c>
      <c r="O13" s="25"/>
      <c r="P13" s="10"/>
      <c r="Q13" s="10"/>
    </row>
    <row r="14" spans="1:19">
      <c r="A14" s="6">
        <v>21</v>
      </c>
      <c r="B14" s="4">
        <v>4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3475184.0</v>
      </c>
      <c r="P14" s="10"/>
      <c r="Q14" s="10"/>
    </row>
    <row r="15" spans="1:19">
      <c r="A15" s="6">
        <v>22</v>
      </c>
      <c r="B15" s="4" t="s">
        <v>25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25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25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86</v>
      </c>
      <c r="N17" s="25">
        <v>84000</v>
      </c>
      <c r="O17" s="25"/>
      <c r="P17" s="10"/>
      <c r="Q17" s="10"/>
    </row>
    <row r="18" spans="1:19">
      <c r="A18" s="6">
        <v>25</v>
      </c>
      <c r="B18" s="4" t="s">
        <v>25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38</v>
      </c>
      <c r="L18" s="10"/>
      <c r="M18" s="27" t="s">
        <v>86</v>
      </c>
      <c r="N18" s="25">
        <v>140000</v>
      </c>
      <c r="O18" s="25"/>
      <c r="P18" s="10"/>
      <c r="Q18" s="10"/>
    </row>
    <row r="19" spans="1:19">
      <c r="A19" s="6">
        <v>26</v>
      </c>
      <c r="B19" s="4" t="s">
        <v>25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39</v>
      </c>
      <c r="L19" s="10"/>
      <c r="M19" s="27" t="s">
        <v>96</v>
      </c>
      <c r="N19" s="25">
        <v>101612</v>
      </c>
      <c r="O19" s="25"/>
      <c r="P19" s="10"/>
      <c r="Q19" s="10"/>
    </row>
    <row r="20" spans="1:19">
      <c r="A20" s="6">
        <v>27</v>
      </c>
      <c r="B20" s="4" t="s">
        <v>25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 t="s">
        <v>25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31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44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1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45</v>
      </c>
      <c r="L25" s="10"/>
      <c r="M25" s="25"/>
      <c r="N25" s="25">
        <v>0.0</v>
      </c>
      <c r="O25" s="25"/>
      <c r="P25" s="10"/>
      <c r="Q25" s="10"/>
    </row>
    <row r="26" spans="1:19">
      <c r="A26" s="6">
        <v>2</v>
      </c>
      <c r="B26" s="4">
        <v>3</v>
      </c>
      <c r="C26" s="4" t="s">
        <v>46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47</v>
      </c>
      <c r="L26" s="10"/>
      <c r="M26" s="25"/>
      <c r="N26" s="25">
        <v>0</v>
      </c>
      <c r="O26" s="25"/>
      <c r="P26" s="10"/>
      <c r="Q26" s="10"/>
    </row>
    <row r="27" spans="1:19">
      <c r="A27" s="6">
        <v>3</v>
      </c>
      <c r="B27" s="4">
        <v>4</v>
      </c>
      <c r="C27" s="4" t="s">
        <v>48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0</v>
      </c>
      <c r="O27" s="25"/>
      <c r="P27" s="10"/>
      <c r="Q27" s="10"/>
    </row>
    <row r="28" spans="1:19">
      <c r="A28" s="6">
        <v>4</v>
      </c>
      <c r="B28" s="4">
        <v>5</v>
      </c>
      <c r="C28" s="4" t="s">
        <v>48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5</v>
      </c>
      <c r="B29" s="4" t="s">
        <v>25</v>
      </c>
      <c r="C29" s="4" t="s">
        <v>48</v>
      </c>
      <c r="D29" s="4">
        <v>12</v>
      </c>
      <c r="E29" s="4">
        <v>0.0</v>
      </c>
      <c r="F29" s="4">
        <v>0.0</v>
      </c>
      <c r="G29" s="4">
        <v>8.0</v>
      </c>
      <c r="H29" s="4">
        <v>1.0</v>
      </c>
      <c r="I29" s="4">
        <v>3.0</v>
      </c>
      <c r="K29" s="13" t="s">
        <v>51</v>
      </c>
      <c r="L29" s="13"/>
      <c r="M29" s="26"/>
      <c r="N29" s="26"/>
      <c r="O29" s="26">
        <v>6240849.42</v>
      </c>
      <c r="P29" s="10"/>
      <c r="Q29" s="10"/>
    </row>
    <row r="30" spans="1:19">
      <c r="A30" s="6">
        <v>6</v>
      </c>
      <c r="B30" s="4" t="s">
        <v>25</v>
      </c>
      <c r="C30" s="4">
        <v>1</v>
      </c>
      <c r="D30" s="4">
        <v>12</v>
      </c>
      <c r="E30" s="4">
        <v>0.0</v>
      </c>
      <c r="F30" s="4">
        <v>0.0</v>
      </c>
      <c r="G30" s="4">
        <v>8.0</v>
      </c>
      <c r="H30" s="4">
        <v>1.0</v>
      </c>
      <c r="I30" s="4">
        <v>3.0</v>
      </c>
      <c r="K30" s="10"/>
      <c r="L30" s="10"/>
      <c r="M30" s="25"/>
      <c r="N30" s="25"/>
      <c r="O30" s="25"/>
      <c r="P30" s="10"/>
      <c r="Q30" s="10"/>
    </row>
    <row r="31" spans="1:19">
      <c r="A31" s="6">
        <v>7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97</v>
      </c>
      <c r="N31" s="28" t="s">
        <v>98</v>
      </c>
      <c r="O31" s="25">
        <f>ROUNDDOWN(-(15602.00),0)</f>
        <v>-15602</v>
      </c>
      <c r="P31" s="10"/>
      <c r="Q31" s="10"/>
    </row>
    <row r="32" spans="1:19">
      <c r="A32" s="6">
        <v>8</v>
      </c>
      <c r="B32" s="4" t="s">
        <v>25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9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10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0</v>
      </c>
      <c r="P34" s="10"/>
      <c r="Q34" s="10"/>
    </row>
    <row r="35" spans="1:19">
      <c r="A35" s="6">
        <v>11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0</v>
      </c>
      <c r="P35" s="10"/>
      <c r="Q35" s="10"/>
    </row>
    <row r="36" spans="1:19">
      <c r="A36" s="6">
        <v>12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13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6054539.0</v>
      </c>
      <c r="P37" s="10"/>
      <c r="Q37" s="10"/>
    </row>
    <row r="38" spans="1:19">
      <c r="A38" s="6">
        <v>14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6">
        <v>15</v>
      </c>
      <c r="B39" s="4" t="s">
        <v>25</v>
      </c>
      <c r="C39" s="4">
        <v>0</v>
      </c>
      <c r="D39" s="4">
        <v>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59</v>
      </c>
      <c r="B40" s="8"/>
      <c r="C40" s="9">
        <v>14</v>
      </c>
      <c r="D40" s="9">
        <v>168</v>
      </c>
      <c r="E40" s="9">
        <v>88.0</v>
      </c>
      <c r="F40" s="9">
        <v>11.0</v>
      </c>
      <c r="G40" s="9">
        <v>56.0</v>
      </c>
      <c r="H40" s="9">
        <v>3.0</v>
      </c>
      <c r="I40" s="9">
        <v>10.0</v>
      </c>
      <c r="K40" s="10" t="s">
        <v>60</v>
      </c>
      <c r="L40" s="10"/>
      <c r="M40" s="25"/>
      <c r="N40" s="25"/>
      <c r="O40" s="25">
        <v>0</v>
      </c>
      <c r="P40" s="10"/>
      <c r="Q40" s="10"/>
    </row>
    <row r="41" spans="1:19">
      <c r="A41" s="7" t="s">
        <v>61</v>
      </c>
      <c r="B41" s="8"/>
      <c r="C41" s="9">
        <v>80.0</v>
      </c>
      <c r="D41" s="9"/>
      <c r="E41" s="9"/>
      <c r="F41" s="9"/>
      <c r="G41" s="9"/>
      <c r="H41" s="9"/>
      <c r="I41" s="9"/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-39</v>
      </c>
    </row>
    <row r="45" spans="1:19">
      <c r="K45" s="13" t="s">
        <v>64</v>
      </c>
      <c r="L45" s="13"/>
      <c r="M45" s="26"/>
      <c r="N45" s="26"/>
      <c r="O45" s="26">
        <v>6054500.0</v>
      </c>
    </row>
    <row r="46" spans="1:19">
      <c r="A46" s="14"/>
      <c r="B46" s="17"/>
      <c r="C46" s="17"/>
      <c r="D46" s="17"/>
      <c r="E46" s="17"/>
      <c r="F46" s="17"/>
      <c r="G46" s="17"/>
      <c r="H46" s="17"/>
      <c r="I46" s="20"/>
      <c r="M46" s="29"/>
      <c r="N46" s="29"/>
      <c r="O46" s="29"/>
    </row>
    <row r="47" spans="1:19">
      <c r="A47" s="15" t="s">
        <v>65</v>
      </c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/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 t="s">
        <v>66</v>
      </c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/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 t="s">
        <v>67</v>
      </c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/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 t="s">
        <v>90</v>
      </c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/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 t="s">
        <v>99</v>
      </c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5"/>
      <c r="B63" s="18"/>
      <c r="C63" s="18"/>
      <c r="D63" s="18"/>
      <c r="E63" s="18"/>
      <c r="F63" s="18"/>
      <c r="G63" s="18"/>
      <c r="H63" s="18"/>
      <c r="I63" s="21"/>
      <c r="M63" s="29"/>
      <c r="N63" s="29"/>
      <c r="O63" s="29"/>
    </row>
    <row r="64" spans="1:19">
      <c r="A64" s="16"/>
      <c r="B64" s="19"/>
      <c r="C64" s="19"/>
      <c r="D64" s="19"/>
      <c r="E64" s="19"/>
      <c r="F64" s="19"/>
      <c r="G64" s="19"/>
      <c r="H64" s="19"/>
      <c r="I64" s="22"/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1:I41"/>
    <mergeCell ref="A47:I47"/>
    <mergeCell ref="A50:I50"/>
    <mergeCell ref="A54:I54"/>
    <mergeCell ref="A58:I58"/>
    <mergeCell ref="A62:I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100</v>
      </c>
      <c r="N4" s="10" t="s">
        <v>5</v>
      </c>
      <c r="O4" s="10">
        <v>251100049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3723350.0</v>
      </c>
      <c r="N6" s="25" t="s">
        <v>18</v>
      </c>
      <c r="O6" s="25" t="s">
        <v>71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21522.25433526</v>
      </c>
      <c r="N7" s="25" t="s">
        <v>22</v>
      </c>
      <c r="O7" s="25" t="s">
        <v>23</v>
      </c>
      <c r="P7" s="10"/>
      <c r="Q7" s="10"/>
      <c r="S7" t="s">
        <v>101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48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2</v>
      </c>
      <c r="C10" s="4" t="s">
        <v>48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102</v>
      </c>
      <c r="N10" s="25">
        <v>451967.34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48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103</v>
      </c>
      <c r="N11" s="25">
        <v>2453536.99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48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104</v>
      </c>
      <c r="N12" s="25">
        <v>129133.53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48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105</v>
      </c>
      <c r="N13" s="25">
        <v>602623.12</v>
      </c>
      <c r="O13" s="25"/>
      <c r="P13" s="10"/>
      <c r="Q13" s="10"/>
    </row>
    <row r="14" spans="1:19">
      <c r="A14" s="6">
        <v>21</v>
      </c>
      <c r="B14" s="4" t="s">
        <v>25</v>
      </c>
      <c r="C14" s="4" t="s">
        <v>48</v>
      </c>
      <c r="D14" s="4">
        <v>12</v>
      </c>
      <c r="E14" s="4">
        <v>0.0</v>
      </c>
      <c r="F14" s="4">
        <v>0.0</v>
      </c>
      <c r="G14" s="4">
        <v>8.0</v>
      </c>
      <c r="H14" s="4">
        <v>1.0</v>
      </c>
      <c r="I14" s="4">
        <v>3.0</v>
      </c>
      <c r="K14" s="13" t="s">
        <v>35</v>
      </c>
      <c r="L14" s="13"/>
      <c r="M14" s="26"/>
      <c r="N14" s="26"/>
      <c r="O14" s="26">
        <v>3637261.0</v>
      </c>
      <c r="P14" s="10"/>
      <c r="Q14" s="10"/>
    </row>
    <row r="15" spans="1:19">
      <c r="A15" s="6">
        <v>22</v>
      </c>
      <c r="B15" s="4" t="s">
        <v>25</v>
      </c>
      <c r="C15" s="4" t="s">
        <v>106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25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25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36</v>
      </c>
      <c r="L17" s="10"/>
      <c r="M17" s="27" t="s">
        <v>107</v>
      </c>
      <c r="N17" s="25">
        <v>102000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38</v>
      </c>
      <c r="L18" s="10"/>
      <c r="M18" s="27" t="s">
        <v>107</v>
      </c>
      <c r="N18" s="25">
        <v>170000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39</v>
      </c>
      <c r="L19" s="10"/>
      <c r="M19" s="27" t="s">
        <v>108</v>
      </c>
      <c r="N19" s="25">
        <v>167551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41</v>
      </c>
      <c r="L20" s="10"/>
      <c r="M20" s="25"/>
      <c r="N20" s="25">
        <v>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42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43</v>
      </c>
      <c r="L22" s="13"/>
      <c r="M22" s="26"/>
      <c r="N22" s="26"/>
      <c r="O22" s="26">
        <v>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31</v>
      </c>
      <c r="B24" s="4" t="s">
        <v>25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44</v>
      </c>
      <c r="L24" s="10"/>
      <c r="M24" s="25"/>
      <c r="N24" s="25">
        <v>75956.34</v>
      </c>
      <c r="O24" s="25"/>
      <c r="P24" s="10"/>
      <c r="Q24" s="10"/>
    </row>
    <row r="25" spans="1:19">
      <c r="A25" s="6">
        <v>1</v>
      </c>
      <c r="B25" s="4" t="s">
        <v>25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45</v>
      </c>
      <c r="L25" s="10"/>
      <c r="M25" s="25"/>
      <c r="N25" s="25">
        <v>0.0</v>
      </c>
      <c r="O25" s="25"/>
      <c r="P25" s="10"/>
      <c r="Q25" s="10"/>
    </row>
    <row r="26" spans="1:19">
      <c r="A26" s="6">
        <v>2</v>
      </c>
      <c r="B26" s="4" t="s">
        <v>79</v>
      </c>
      <c r="C26" s="4" t="s">
        <v>79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109</v>
      </c>
      <c r="L26" s="10"/>
      <c r="M26" s="25"/>
      <c r="N26" s="25">
        <v>0</v>
      </c>
      <c r="O26" s="25"/>
      <c r="P26" s="10"/>
      <c r="Q26" s="10"/>
    </row>
    <row r="27" spans="1:19">
      <c r="A27" s="6">
        <v>3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0</v>
      </c>
      <c r="O27" s="25"/>
      <c r="P27" s="10"/>
      <c r="Q27" s="10"/>
    </row>
    <row r="28" spans="1:19">
      <c r="A28" s="6">
        <v>4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5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51</v>
      </c>
      <c r="L29" s="13"/>
      <c r="M29" s="26"/>
      <c r="N29" s="26"/>
      <c r="O29" s="26">
        <v>6862433.12</v>
      </c>
      <c r="P29" s="10"/>
      <c r="Q29" s="10"/>
    </row>
    <row r="30" spans="1:19">
      <c r="A30" s="6">
        <v>6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7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53</v>
      </c>
      <c r="N31" s="28" t="s">
        <v>110</v>
      </c>
      <c r="O31" s="25">
        <f>ROUNDDOWN(-(85780.00),0)</f>
        <v>-85780</v>
      </c>
      <c r="P31" s="10"/>
      <c r="Q31" s="10"/>
    </row>
    <row r="32" spans="1:19">
      <c r="A32" s="6">
        <v>8</v>
      </c>
      <c r="B32" s="4" t="s">
        <v>25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44</v>
      </c>
      <c r="L32" s="10"/>
      <c r="M32" s="25"/>
      <c r="N32" s="25"/>
      <c r="O32" s="25">
        <v>-75956.34</v>
      </c>
      <c r="P32" s="10"/>
      <c r="Q32" s="10"/>
    </row>
    <row r="33" spans="1:19">
      <c r="A33" s="6">
        <v>9</v>
      </c>
      <c r="B33" s="4" t="s">
        <v>25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-74467.0</v>
      </c>
      <c r="P33" s="10"/>
      <c r="Q33" s="10"/>
    </row>
    <row r="34" spans="1:19">
      <c r="A34" s="6">
        <v>10</v>
      </c>
      <c r="B34" s="4" t="s">
        <v>25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0</v>
      </c>
      <c r="P34" s="10"/>
      <c r="Q34" s="10"/>
    </row>
    <row r="35" spans="1:19">
      <c r="A35" s="6">
        <v>11</v>
      </c>
      <c r="B35" s="4" t="s">
        <v>25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45</v>
      </c>
      <c r="L35" s="10"/>
      <c r="M35" s="25"/>
      <c r="N35" s="25"/>
      <c r="O35" s="25">
        <v>0</v>
      </c>
      <c r="P35" s="10"/>
      <c r="Q35" s="10"/>
    </row>
    <row r="36" spans="1:19">
      <c r="A36" s="6">
        <v>12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-37233.5</v>
      </c>
      <c r="P36" s="10"/>
      <c r="Q36" s="10"/>
    </row>
    <row r="37" spans="1:19">
      <c r="A37" s="6">
        <v>13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6588996.0</v>
      </c>
      <c r="P37" s="10"/>
      <c r="Q37" s="10"/>
    </row>
    <row r="38" spans="1:19">
      <c r="A38" s="6">
        <v>14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6">
        <v>15</v>
      </c>
      <c r="B39" s="4" t="s">
        <v>25</v>
      </c>
      <c r="C39" s="4">
        <v>0</v>
      </c>
      <c r="D39" s="4">
        <v>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K39" s="10" t="s">
        <v>42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59</v>
      </c>
      <c r="B40" s="8"/>
      <c r="C40" s="9">
        <v>16</v>
      </c>
      <c r="D40" s="9">
        <v>192</v>
      </c>
      <c r="E40" s="9">
        <v>112.0</v>
      </c>
      <c r="F40" s="9">
        <v>14.0</v>
      </c>
      <c r="G40" s="9">
        <v>57.0</v>
      </c>
      <c r="H40" s="9">
        <v>2.0</v>
      </c>
      <c r="I40" s="9">
        <v>7.0</v>
      </c>
      <c r="K40" s="10" t="s">
        <v>60</v>
      </c>
      <c r="L40" s="10"/>
      <c r="M40" s="25"/>
      <c r="N40" s="25"/>
      <c r="O40" s="25">
        <v>0</v>
      </c>
      <c r="P40" s="10"/>
      <c r="Q40" s="10"/>
    </row>
    <row r="41" spans="1:19">
      <c r="A41" s="7" t="s">
        <v>61</v>
      </c>
      <c r="B41" s="8"/>
      <c r="C41" s="9">
        <v>80.0</v>
      </c>
      <c r="D41" s="9"/>
      <c r="E41" s="9"/>
      <c r="F41" s="9"/>
      <c r="G41" s="9"/>
      <c r="H41" s="9"/>
      <c r="I41" s="9"/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4</v>
      </c>
    </row>
    <row r="45" spans="1:19">
      <c r="K45" s="13" t="s">
        <v>64</v>
      </c>
      <c r="L45" s="13"/>
      <c r="M45" s="26"/>
      <c r="N45" s="26"/>
      <c r="O45" s="26">
        <v>6589000.0</v>
      </c>
    </row>
    <row r="46" spans="1:19">
      <c r="A46" s="14"/>
      <c r="B46" s="17"/>
      <c r="C46" s="17"/>
      <c r="D46" s="17"/>
      <c r="E46" s="17"/>
      <c r="F46" s="17"/>
      <c r="G46" s="17"/>
      <c r="H46" s="17"/>
      <c r="I46" s="20"/>
      <c r="M46" s="29"/>
      <c r="N46" s="29"/>
      <c r="O46" s="29"/>
    </row>
    <row r="47" spans="1:19">
      <c r="A47" s="15" t="s">
        <v>65</v>
      </c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/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 t="s">
        <v>66</v>
      </c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/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 t="s">
        <v>67</v>
      </c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/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 t="s">
        <v>100</v>
      </c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/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 t="s">
        <v>111</v>
      </c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5"/>
      <c r="B63" s="18"/>
      <c r="C63" s="18"/>
      <c r="D63" s="18"/>
      <c r="E63" s="18"/>
      <c r="F63" s="18"/>
      <c r="G63" s="18"/>
      <c r="H63" s="18"/>
      <c r="I63" s="21"/>
      <c r="M63" s="29"/>
      <c r="N63" s="29"/>
      <c r="O63" s="29"/>
    </row>
    <row r="64" spans="1:19">
      <c r="A64" s="16"/>
      <c r="B64" s="19"/>
      <c r="C64" s="19"/>
      <c r="D64" s="19"/>
      <c r="E64" s="19"/>
      <c r="F64" s="19"/>
      <c r="G64" s="19"/>
      <c r="H64" s="19"/>
      <c r="I64" s="22"/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1:I41"/>
    <mergeCell ref="A47:I47"/>
    <mergeCell ref="A50:I50"/>
    <mergeCell ref="A54:I54"/>
    <mergeCell ref="A58:I58"/>
    <mergeCell ref="A62:I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Ade Syahputra Wijaya Harahap</vt:lpstr>
      <vt:lpstr>Adrian Lubis</vt:lpstr>
      <vt:lpstr>Agus Ahir Hasibuan</vt:lpstr>
      <vt:lpstr>Ahmad Fauzi Hasibuan</vt:lpstr>
      <vt:lpstr>Ahmad Juandi Nasution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2026-01-28T16:22:53+07:00</dcterms:created>
  <dcterms:modified xsi:type="dcterms:W3CDTF">2026-01-28T16:22:53+07:00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