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0" minimized="false" showHorizontalScroll="true" showSheetTabs="true" showVerticalScroll="true" tabRatio="600" visibility="visible"/>
  </bookViews>
  <sheets>
    <sheet name="Amin Siregar" sheetId="1" r:id="rId4"/>
    <sheet name="Heri Hamjah" sheetId="2" r:id="rId5"/>
    <sheet name="Marwan Efendi" sheetId="3" r:id="rId6"/>
    <sheet name="Saedar Mulia Lubis" sheetId="4" r:id="rId7"/>
    <sheet name="Saut Halomoan Rambe" sheetId="5" r:id="rId8"/>
    <sheet name="Worksheet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<sst xmlns="http://schemas.openxmlformats.org/spreadsheetml/2006/main" uniqueCount="109">
  <si>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PT. SANGATI SOERYA SEJAHTERA</t>
  </si>
  <si>
    <t>Slip Gaji Karyawan</t>
  </si>
  <si>
    <t>PT : Promincon Indonesia</t>
  </si>
  <si>
    <t>NAMA</t>
  </si>
  <si>
    <t>Amin Siregar</t>
  </si>
  <si>
    <t>Id</t>
  </si>
  <si>
    <t>Periode : 16-11-2025 to 15-12-2025</t>
  </si>
  <si>
    <t>JABATAN</t>
  </si>
  <si>
    <t>Drilling Crew 703</t>
  </si>
  <si>
    <t xml:space="preserve">DEPT </t>
  </si>
  <si>
    <t>PMC_Martabe</t>
  </si>
  <si>
    <t>DATE</t>
  </si>
  <si>
    <t>ROSTER DAY</t>
  </si>
  <si>
    <t>SHIFT DAY</t>
  </si>
  <si>
    <t>HOURS TOTAL</t>
  </si>
  <si>
    <t>NT</t>
  </si>
  <si>
    <t>OVERTIME</t>
  </si>
  <si>
    <t>GAJI POKOK</t>
  </si>
  <si>
    <t>STATUS</t>
  </si>
  <si>
    <t>K2</t>
  </si>
  <si>
    <t>Base   : 52</t>
  </si>
  <si>
    <t>RATE/HOUR</t>
  </si>
  <si>
    <t>NPWP</t>
  </si>
  <si>
    <t>-</t>
  </si>
  <si>
    <t>Format : 03-62-06-33-34</t>
  </si>
  <si>
    <t>RO</t>
  </si>
  <si>
    <t>Upah</t>
  </si>
  <si>
    <t>OT 1</t>
  </si>
  <si>
    <t>11.0 x 1.5 x 19,578.50 = Rp.</t>
  </si>
  <si>
    <t>OT 2</t>
  </si>
  <si>
    <t>40.0 x 2.0 x 19,578.50 = Rp.</t>
  </si>
  <si>
    <t>OT 3</t>
  </si>
  <si>
    <t>1.0 x 3.0 x 19,578.50 = Rp.</t>
  </si>
  <si>
    <t>OT 4</t>
  </si>
  <si>
    <t>4.0 x 4.0 x 19,578.50 = Rp.</t>
  </si>
  <si>
    <t>OT TOTAL</t>
  </si>
  <si>
    <t>NS</t>
  </si>
  <si>
    <t>Tunjangan Kehadiran</t>
  </si>
  <si>
    <t>12 Hari</t>
  </si>
  <si>
    <t>Tunjangan Transport</t>
  </si>
  <si>
    <t>Tunjangan Shift Malam</t>
  </si>
  <si>
    <t>3 Hari</t>
  </si>
  <si>
    <t>Tunjangan</t>
  </si>
  <si>
    <t>THR</t>
  </si>
  <si>
    <t>BONUS TOTAL</t>
  </si>
  <si>
    <t>JKK &amp; JKM(2.04%)</t>
  </si>
  <si>
    <t>Iuran BPJS Kesehatan(4%)</t>
  </si>
  <si>
    <t>PH</t>
  </si>
  <si>
    <t>Potongan Absensi 0 Hari</t>
  </si>
  <si>
    <t>Adjustment In</t>
  </si>
  <si>
    <t>Adjustment Out</t>
  </si>
  <si>
    <t>TOTAL KOTOR</t>
  </si>
  <si>
    <t>Pajak Penghasilan</t>
  </si>
  <si>
    <t>B</t>
  </si>
  <si>
    <t>0.00%</t>
  </si>
  <si>
    <t>Iuran JHT BPJS TK(2%)</t>
  </si>
  <si>
    <t>Iuran BPJS Kesehatan(1%)</t>
  </si>
  <si>
    <t>Iuran JP TK(1%)</t>
  </si>
  <si>
    <t>Potong Pajak</t>
  </si>
  <si>
    <t>TOTAL</t>
  </si>
  <si>
    <t>TOTAL OT</t>
  </si>
  <si>
    <t>Adj</t>
  </si>
  <si>
    <t>Beban Hutang</t>
  </si>
  <si>
    <t>Pembulatan</t>
  </si>
  <si>
    <t>TOTAL TERIMA</t>
  </si>
  <si>
    <t>Dibayarkan Oleh</t>
  </si>
  <si>
    <t>Payroll/ Accounting</t>
  </si>
  <si>
    <t>Diterima Oleh Karyawan</t>
  </si>
  <si>
    <t>MANDIRI : 1830006307655</t>
  </si>
  <si>
    <t>Heri Hamjah</t>
  </si>
  <si>
    <t>K0</t>
  </si>
  <si>
    <t>Format : 01-05-36-53-52</t>
  </si>
  <si>
    <t>12.0 x 1.5 x 19,578.50 = Rp.</t>
  </si>
  <si>
    <t>51.0 x 2.0 x 19,578.50 = Rp.</t>
  </si>
  <si>
    <t>2.0 x 3.0 x 19,578.50 = Rp.</t>
  </si>
  <si>
    <t>7.0 x 4.0 x 19,578.50 = Rp.</t>
  </si>
  <si>
    <t>14 Hari</t>
  </si>
  <si>
    <t>8 Hari</t>
  </si>
  <si>
    <t>A</t>
  </si>
  <si>
    <t>1.00%</t>
  </si>
  <si>
    <t>MANDIRI : 1830006306749</t>
  </si>
  <si>
    <t>Marwan Efendi</t>
  </si>
  <si>
    <t>Format : 54-53-53-05</t>
  </si>
  <si>
    <t>14.0 x 1.5 x 19,578.50 = Rp.</t>
  </si>
  <si>
    <t>57.0 x 2.0 x 19,578.50 = Rp.</t>
  </si>
  <si>
    <t>U</t>
  </si>
  <si>
    <t>16 Hari</t>
  </si>
  <si>
    <t>6 Hari</t>
  </si>
  <si>
    <t>Potongan Absensi 1 Hari</t>
  </si>
  <si>
    <t>1.25%</t>
  </si>
  <si>
    <t>MANDIRI : 1830006307267</t>
  </si>
  <si>
    <t>Saedar Mulia Lubis</t>
  </si>
  <si>
    <t>K3</t>
  </si>
  <si>
    <t>Format : 02-44-05-54-33</t>
  </si>
  <si>
    <t>56.0 x 2.0 x 19,578.50 = Rp.</t>
  </si>
  <si>
    <t>3.0 x 3.0 x 19,578.50 = Rp.</t>
  </si>
  <si>
    <t>10.0 x 4.0 x 19,578.50 = Rp.</t>
  </si>
  <si>
    <t>4 Hari</t>
  </si>
  <si>
    <t>PN</t>
  </si>
  <si>
    <t>C</t>
  </si>
  <si>
    <t>0.50%</t>
  </si>
  <si>
    <t>MANDIRI : 1830006307515</t>
  </si>
  <si>
    <t>Saut halomoan Rambe</t>
  </si>
  <si>
    <t>Format : 02-06-53-53-06</t>
  </si>
  <si>
    <t>9.0 x 1.5 x 19,578.50 = Rp.</t>
  </si>
  <si>
    <t>42.0 x 2.0 x 19,578.50 = Rp.</t>
  </si>
  <si>
    <t>11 Hari</t>
  </si>
  <si>
    <t>5 Hari</t>
  </si>
  <si>
    <t>MANDIRI : 1830006307424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</si>
</sst>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singl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3"/>
      <color rgb="FF000000"/>
      <name val="Calibri"/>
    </font>
    <font>
      <b val="1"/>
      <i val="0"/>
      <strike val="0"/>
      <u val="none"/>
      <sz val="13"/>
      <color rgb="FF0000FF"/>
      <name val="Calibri"/>
    </font>
    <font>
      <b val="0"/>
      <i val="1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0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</border>
    <border>
      <left style="thin">
        <color rgb="00000000"/>
      </left>
      <top style="thin">
        <color rgb="00000000"/>
      </top>
    </border>
    <border>
      <left style="thin">
        <color rgb="00000000"/>
      </lef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top style="thin">
        <color rgb="00000000"/>
      </top>
    </border>
    <border>
      <right style="thin">
        <color rgb="00000000"/>
      </right>
    </border>
    <border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5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7" numFmtId="4" fillId="0" borderId="0" applyFont="1" applyNumberFormat="1" applyFill="0" applyBorder="0" applyAlignment="0">
      <alignment horizontal="general" vertical="bottom" textRotation="0" wrapText="false" shrinkToFit="false"/>
    </xf>
    <xf xfId="0" fontId="5" numFmtId="4" fillId="0" borderId="0" applyFont="1" applyNumberFormat="1" applyFill="0" applyBorder="0" applyAlignment="0">
      <alignment horizontal="general" vertical="bottom" textRotation="0" wrapText="false" shrinkToFit="false"/>
    </xf>
    <xf xfId="0" fontId="6" numFmtId="4" fillId="0" borderId="0" applyFont="1" applyNumberFormat="1" applyFill="0" applyBorder="0" applyAlignment="0">
      <alignment horizontal="general" vertical="bottom" textRotation="0" wrapText="false" shrinkToFit="false"/>
    </xf>
    <xf xfId="0" fontId="7" numFmtId="4" fillId="0" borderId="2" applyFont="1" applyNumberFormat="1" applyFill="0" applyBorder="1" applyAlignment="0">
      <alignment horizontal="general" vertical="bottom" textRotation="0" wrapText="false" shrinkToFit="false"/>
    </xf>
    <xf xfId="0" fontId="8" numFmtId="4" fillId="0" borderId="0" applyFont="1" applyNumberFormat="1" applyFill="0" applyBorder="0" applyAlignment="1">
      <alignment horizontal="right" vertical="center" textRotation="0" wrapText="false" shrinkToFit="false"/>
    </xf>
    <xf xfId="0" fontId="6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7f2039632461f0bfc0631c9734608b7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914400" cy="3619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4</v>
      </c>
      <c r="N4" s="10" t="s">
        <v>5</v>
      </c>
      <c r="O4" s="10">
        <v>251100052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19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24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25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2032249.0</v>
      </c>
      <c r="P9" s="10"/>
      <c r="Q9" s="10"/>
    </row>
    <row r="10" spans="1:19">
      <c r="A10" s="6">
        <v>17</v>
      </c>
      <c r="B10" s="4" t="s">
        <v>25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323045.3</v>
      </c>
      <c r="O10" s="25"/>
      <c r="P10" s="10"/>
      <c r="Q10" s="10"/>
    </row>
    <row r="11" spans="1:19">
      <c r="A11" s="6">
        <v>18</v>
      </c>
      <c r="B11" s="4" t="s">
        <v>25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30</v>
      </c>
      <c r="N11" s="25">
        <v>1566280.23</v>
      </c>
      <c r="O11" s="25"/>
      <c r="P11" s="10"/>
      <c r="Q11" s="10"/>
    </row>
    <row r="12" spans="1:19">
      <c r="A12" s="6">
        <v>19</v>
      </c>
      <c r="B12" s="4">
        <v>1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32</v>
      </c>
      <c r="N12" s="25">
        <v>58735.51</v>
      </c>
      <c r="O12" s="25"/>
      <c r="P12" s="10"/>
      <c r="Q12" s="10"/>
    </row>
    <row r="13" spans="1:19">
      <c r="A13" s="6">
        <v>20</v>
      </c>
      <c r="B13" s="4">
        <v>2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34</v>
      </c>
      <c r="N13" s="25">
        <v>313256.05</v>
      </c>
      <c r="O13" s="25"/>
      <c r="P13" s="10"/>
      <c r="Q13" s="10"/>
    </row>
    <row r="14" spans="1:19">
      <c r="A14" s="6">
        <v>21</v>
      </c>
      <c r="B14" s="4">
        <v>3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2261317.0</v>
      </c>
      <c r="P14" s="10"/>
      <c r="Q14" s="10"/>
    </row>
    <row r="15" spans="1:19">
      <c r="A15" s="6">
        <v>22</v>
      </c>
      <c r="B15" s="4">
        <v>4</v>
      </c>
      <c r="C15" s="4" t="s">
        <v>36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5</v>
      </c>
      <c r="C16" s="4" t="s">
        <v>36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6</v>
      </c>
      <c r="C17" s="4" t="s">
        <v>36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37</v>
      </c>
      <c r="L17" s="10"/>
      <c r="M17" s="27" t="s">
        <v>38</v>
      </c>
      <c r="N17" s="25">
        <v>0</v>
      </c>
      <c r="O17" s="25"/>
      <c r="P17" s="10"/>
      <c r="Q17" s="10"/>
    </row>
    <row r="18" spans="1:19">
      <c r="A18" s="6">
        <v>25</v>
      </c>
      <c r="B18" s="4" t="s">
        <v>25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39</v>
      </c>
      <c r="L18" s="10"/>
      <c r="M18" s="27" t="s">
        <v>38</v>
      </c>
      <c r="N18" s="25">
        <v>0</v>
      </c>
      <c r="O18" s="25"/>
      <c r="P18" s="10"/>
      <c r="Q18" s="10"/>
    </row>
    <row r="19" spans="1:19">
      <c r="A19" s="6">
        <v>26</v>
      </c>
      <c r="B19" s="4" t="s">
        <v>25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41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25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42</v>
      </c>
      <c r="L20" s="10"/>
      <c r="M20" s="25"/>
      <c r="N20" s="25">
        <v>1000000</v>
      </c>
      <c r="O20" s="25"/>
      <c r="P20" s="10"/>
      <c r="Q20" s="10"/>
    </row>
    <row r="21" spans="1:19">
      <c r="A21" s="6">
        <v>28</v>
      </c>
      <c r="B21" s="4" t="s">
        <v>25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43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25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44</v>
      </c>
      <c r="L22" s="13"/>
      <c r="M22" s="26"/>
      <c r="N22" s="26"/>
      <c r="O22" s="26">
        <v>1000000</v>
      </c>
      <c r="P22" s="10"/>
      <c r="Q22" s="10"/>
    </row>
    <row r="23" spans="1:19">
      <c r="A23" s="6">
        <v>30</v>
      </c>
      <c r="B23" s="4" t="s">
        <v>25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25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45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25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46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47</v>
      </c>
      <c r="C26" s="4" t="s">
        <v>47</v>
      </c>
      <c r="D26" s="4">
        <v>12</v>
      </c>
      <c r="E26" s="4">
        <v>0.0</v>
      </c>
      <c r="F26" s="4">
        <v>0.0</v>
      </c>
      <c r="G26" s="4">
        <v>7.0</v>
      </c>
      <c r="H26" s="4">
        <v>1.0</v>
      </c>
      <c r="I26" s="4">
        <v>4.0</v>
      </c>
      <c r="K26" s="10" t="s">
        <v>48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2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49</v>
      </c>
      <c r="L27" s="10"/>
      <c r="M27" s="25"/>
      <c r="N27" s="25">
        <v>150000</v>
      </c>
      <c r="O27" s="25"/>
      <c r="P27" s="10"/>
      <c r="Q27" s="10"/>
    </row>
    <row r="28" spans="1:19">
      <c r="A28" s="6">
        <v>5</v>
      </c>
      <c r="B28" s="4">
        <v>3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50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25</v>
      </c>
      <c r="C29" s="4">
        <v>0</v>
      </c>
      <c r="D29" s="4">
        <v>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K29" s="13" t="s">
        <v>51</v>
      </c>
      <c r="L29" s="13"/>
      <c r="M29" s="26"/>
      <c r="N29" s="26"/>
      <c r="O29" s="26">
        <v>5648145.38</v>
      </c>
      <c r="P29" s="10"/>
      <c r="Q29" s="10"/>
    </row>
    <row r="30" spans="1:19">
      <c r="A30" s="6">
        <v>7</v>
      </c>
      <c r="B30" s="4" t="s">
        <v>25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25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52</v>
      </c>
      <c r="L31" s="10"/>
      <c r="M31" s="28" t="s">
        <v>53</v>
      </c>
      <c r="N31" s="28" t="s">
        <v>54</v>
      </c>
      <c r="O31" s="25">
        <f>ROUNDDOWN(-(0.00),0)</f>
        <v>0</v>
      </c>
      <c r="P31" s="10"/>
      <c r="Q31" s="10"/>
    </row>
    <row r="32" spans="1:19">
      <c r="A32" s="6">
        <v>9</v>
      </c>
      <c r="B32" s="4">
        <v>1</v>
      </c>
      <c r="C32" s="4">
        <v>1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45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2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55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3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56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25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46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25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57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25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58</v>
      </c>
      <c r="L37" s="13"/>
      <c r="M37" s="26"/>
      <c r="N37" s="26"/>
      <c r="O37" s="26">
        <v>5308082.0</v>
      </c>
      <c r="P37" s="10"/>
      <c r="Q37" s="10"/>
    </row>
    <row r="38" spans="1:19">
      <c r="A38" s="6">
        <v>15</v>
      </c>
      <c r="B38" s="4" t="s">
        <v>25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59</v>
      </c>
      <c r="B39" s="8"/>
      <c r="C39" s="9">
        <v>12</v>
      </c>
      <c r="D39" s="9">
        <v>144</v>
      </c>
      <c r="E39" s="9">
        <v>88.0</v>
      </c>
      <c r="F39" s="9">
        <v>11.0</v>
      </c>
      <c r="G39" s="9">
        <v>40.0</v>
      </c>
      <c r="H39" s="9">
        <v>1.0</v>
      </c>
      <c r="I39" s="9">
        <v>4.0</v>
      </c>
      <c r="K39" s="10" t="s">
        <v>43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60</v>
      </c>
      <c r="B40" s="8"/>
      <c r="C40" s="9">
        <v>56.0</v>
      </c>
      <c r="D40" s="9"/>
      <c r="E40" s="9"/>
      <c r="F40" s="9"/>
      <c r="G40" s="9"/>
      <c r="H40" s="9"/>
      <c r="I40" s="9"/>
      <c r="K40" s="10" t="s">
        <v>61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62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63</v>
      </c>
      <c r="L44" s="10"/>
      <c r="M44" s="25"/>
      <c r="N44" s="25"/>
      <c r="O44" s="25">
        <v>18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64</v>
      </c>
      <c r="L45" s="13"/>
      <c r="M45" s="26"/>
      <c r="N45" s="26"/>
      <c r="O45" s="26">
        <v>5308100.0</v>
      </c>
    </row>
    <row r="46" spans="1:19">
      <c r="A46" s="15" t="s">
        <v>65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66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67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4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68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69</v>
      </c>
      <c r="N4" s="10" t="s">
        <v>5</v>
      </c>
      <c r="O4" s="10">
        <v>251100054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70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71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25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2370957.0</v>
      </c>
      <c r="P9" s="10"/>
      <c r="Q9" s="10"/>
    </row>
    <row r="10" spans="1:19">
      <c r="A10" s="6">
        <v>17</v>
      </c>
      <c r="B10" s="4" t="s">
        <v>25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72</v>
      </c>
      <c r="N10" s="25">
        <v>352413.05</v>
      </c>
      <c r="O10" s="25"/>
      <c r="P10" s="10"/>
      <c r="Q10" s="10"/>
    </row>
    <row r="11" spans="1:19">
      <c r="A11" s="6">
        <v>18</v>
      </c>
      <c r="B11" s="4" t="s">
        <v>25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73</v>
      </c>
      <c r="N11" s="25">
        <v>1997007.29</v>
      </c>
      <c r="O11" s="25"/>
      <c r="P11" s="10"/>
      <c r="Q11" s="10"/>
    </row>
    <row r="12" spans="1:19">
      <c r="A12" s="6">
        <v>19</v>
      </c>
      <c r="B12" s="4" t="s">
        <v>25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74</v>
      </c>
      <c r="N12" s="25">
        <v>117471.02</v>
      </c>
      <c r="O12" s="25"/>
      <c r="P12" s="10"/>
      <c r="Q12" s="10"/>
    </row>
    <row r="13" spans="1:19">
      <c r="A13" s="6">
        <v>20</v>
      </c>
      <c r="B13" s="4" t="s">
        <v>25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75</v>
      </c>
      <c r="N13" s="25">
        <v>548198.08</v>
      </c>
      <c r="O13" s="25"/>
      <c r="P13" s="10"/>
      <c r="Q13" s="10"/>
    </row>
    <row r="14" spans="1:19">
      <c r="A14" s="6">
        <v>21</v>
      </c>
      <c r="B14" s="4" t="s">
        <v>25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3015089.0</v>
      </c>
      <c r="P14" s="10"/>
      <c r="Q14" s="10"/>
    </row>
    <row r="15" spans="1:19">
      <c r="A15" s="6">
        <v>22</v>
      </c>
      <c r="B15" s="4">
        <v>1</v>
      </c>
      <c r="C15" s="4" t="s">
        <v>36</v>
      </c>
      <c r="D15" s="4">
        <v>12</v>
      </c>
      <c r="E15" s="4">
        <v>8.0</v>
      </c>
      <c r="F15" s="4">
        <v>1.0</v>
      </c>
      <c r="G15" s="4">
        <v>3.0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>
        <v>2</v>
      </c>
      <c r="C16" s="4" t="s">
        <v>36</v>
      </c>
      <c r="D16" s="4">
        <v>12</v>
      </c>
      <c r="E16" s="4">
        <v>8.0</v>
      </c>
      <c r="F16" s="4">
        <v>1.0</v>
      </c>
      <c r="G16" s="4">
        <v>3.0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3</v>
      </c>
      <c r="C17" s="4" t="s">
        <v>36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37</v>
      </c>
      <c r="L17" s="10"/>
      <c r="M17" s="27" t="s">
        <v>76</v>
      </c>
      <c r="N17" s="25">
        <v>0</v>
      </c>
      <c r="O17" s="25"/>
      <c r="P17" s="10"/>
      <c r="Q17" s="10"/>
    </row>
    <row r="18" spans="1:19">
      <c r="A18" s="6">
        <v>25</v>
      </c>
      <c r="B18" s="4" t="s">
        <v>25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39</v>
      </c>
      <c r="L18" s="10"/>
      <c r="M18" s="27" t="s">
        <v>76</v>
      </c>
      <c r="N18" s="25">
        <v>0</v>
      </c>
      <c r="O18" s="25"/>
      <c r="P18" s="10"/>
      <c r="Q18" s="10"/>
    </row>
    <row r="19" spans="1:19">
      <c r="A19" s="6">
        <v>26</v>
      </c>
      <c r="B19" s="4" t="s">
        <v>25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77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25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42</v>
      </c>
      <c r="L20" s="10"/>
      <c r="M20" s="25"/>
      <c r="N20" s="25">
        <v>1000000</v>
      </c>
      <c r="O20" s="25"/>
      <c r="P20" s="10"/>
      <c r="Q20" s="10"/>
    </row>
    <row r="21" spans="1:19">
      <c r="A21" s="6">
        <v>28</v>
      </c>
      <c r="B21" s="4" t="s">
        <v>25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43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25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44</v>
      </c>
      <c r="L22" s="13"/>
      <c r="M22" s="26"/>
      <c r="N22" s="26"/>
      <c r="O22" s="26">
        <v>1000000</v>
      </c>
      <c r="P22" s="10"/>
      <c r="Q22" s="10"/>
    </row>
    <row r="23" spans="1:19">
      <c r="A23" s="6">
        <v>30</v>
      </c>
      <c r="B23" s="4" t="s">
        <v>25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45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46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47</v>
      </c>
      <c r="C26" s="4" t="s">
        <v>47</v>
      </c>
      <c r="D26" s="4">
        <v>12</v>
      </c>
      <c r="E26" s="4">
        <v>0.0</v>
      </c>
      <c r="F26" s="4">
        <v>0.0</v>
      </c>
      <c r="G26" s="4">
        <v>7.0</v>
      </c>
      <c r="H26" s="4">
        <v>1.0</v>
      </c>
      <c r="I26" s="4">
        <v>4.0</v>
      </c>
      <c r="K26" s="10" t="s">
        <v>48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49</v>
      </c>
      <c r="L27" s="10"/>
      <c r="M27" s="25"/>
      <c r="N27" s="25">
        <v>150000</v>
      </c>
      <c r="O27" s="25"/>
      <c r="P27" s="10"/>
      <c r="Q27" s="10"/>
    </row>
    <row r="28" spans="1:19">
      <c r="A28" s="6">
        <v>5</v>
      </c>
      <c r="B28" s="4">
        <v>5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50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25</v>
      </c>
      <c r="C29" s="4">
        <v>1</v>
      </c>
      <c r="D29" s="4">
        <v>12</v>
      </c>
      <c r="E29" s="4">
        <v>0.0</v>
      </c>
      <c r="F29" s="4">
        <v>0.0</v>
      </c>
      <c r="G29" s="4">
        <v>8.0</v>
      </c>
      <c r="H29" s="4">
        <v>1.0</v>
      </c>
      <c r="I29" s="4">
        <v>3.0</v>
      </c>
      <c r="K29" s="13" t="s">
        <v>51</v>
      </c>
      <c r="L29" s="13"/>
      <c r="M29" s="26"/>
      <c r="N29" s="26"/>
      <c r="O29" s="26">
        <v>6740625.83</v>
      </c>
      <c r="P29" s="10"/>
      <c r="Q29" s="10"/>
    </row>
    <row r="30" spans="1:19">
      <c r="A30" s="6">
        <v>7</v>
      </c>
      <c r="B30" s="4" t="s">
        <v>25</v>
      </c>
      <c r="C30" s="4">
        <v>0</v>
      </c>
      <c r="D30" s="4">
        <v>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25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52</v>
      </c>
      <c r="L31" s="10"/>
      <c r="M31" s="28" t="s">
        <v>78</v>
      </c>
      <c r="N31" s="28" t="s">
        <v>79</v>
      </c>
      <c r="O31" s="25">
        <f>ROUNDDOWN(-(67406.00),0)</f>
        <v>-67406</v>
      </c>
      <c r="P31" s="10"/>
      <c r="Q31" s="10"/>
    </row>
    <row r="32" spans="1:19">
      <c r="A32" s="6">
        <v>9</v>
      </c>
      <c r="B32" s="4">
        <v>1</v>
      </c>
      <c r="C32" s="4" t="s">
        <v>36</v>
      </c>
      <c r="D32" s="4">
        <v>12</v>
      </c>
      <c r="E32" s="4">
        <v>8.0</v>
      </c>
      <c r="F32" s="4">
        <v>1.0</v>
      </c>
      <c r="G32" s="4">
        <v>3.0</v>
      </c>
      <c r="H32" s="4">
        <v>0.0</v>
      </c>
      <c r="I32" s="4">
        <v>0.0</v>
      </c>
      <c r="K32" s="10" t="s">
        <v>45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2</v>
      </c>
      <c r="C33" s="4" t="s">
        <v>36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55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3</v>
      </c>
      <c r="C34" s="4" t="s">
        <v>36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56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4</v>
      </c>
      <c r="C35" s="4" t="s">
        <v>36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46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>
        <v>5</v>
      </c>
      <c r="C36" s="4" t="s">
        <v>36</v>
      </c>
      <c r="D36" s="4">
        <v>12</v>
      </c>
      <c r="E36" s="4">
        <v>8.0</v>
      </c>
      <c r="F36" s="4">
        <v>1.0</v>
      </c>
      <c r="G36" s="4">
        <v>3.0</v>
      </c>
      <c r="H36" s="4">
        <v>0.0</v>
      </c>
      <c r="I36" s="4">
        <v>0.0</v>
      </c>
      <c r="K36" s="10" t="s">
        <v>57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25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58</v>
      </c>
      <c r="L37" s="13"/>
      <c r="M37" s="26"/>
      <c r="N37" s="26"/>
      <c r="O37" s="26">
        <v>6333157.0</v>
      </c>
      <c r="P37" s="10"/>
      <c r="Q37" s="10"/>
    </row>
    <row r="38" spans="1:19">
      <c r="A38" s="6">
        <v>15</v>
      </c>
      <c r="B38" s="4" t="s">
        <v>25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59</v>
      </c>
      <c r="B39" s="8"/>
      <c r="C39" s="9">
        <v>14</v>
      </c>
      <c r="D39" s="9">
        <v>168</v>
      </c>
      <c r="E39" s="9">
        <v>96.0</v>
      </c>
      <c r="F39" s="9">
        <v>12.0</v>
      </c>
      <c r="G39" s="9">
        <v>51.0</v>
      </c>
      <c r="H39" s="9">
        <v>2.0</v>
      </c>
      <c r="I39" s="9">
        <v>7.0</v>
      </c>
      <c r="K39" s="10" t="s">
        <v>43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60</v>
      </c>
      <c r="B40" s="8"/>
      <c r="C40" s="9">
        <v>72.0</v>
      </c>
      <c r="D40" s="9"/>
      <c r="E40" s="9"/>
      <c r="F40" s="9"/>
      <c r="G40" s="9"/>
      <c r="H40" s="9"/>
      <c r="I40" s="9"/>
      <c r="K40" s="10" t="s">
        <v>61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62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63</v>
      </c>
      <c r="L44" s="10"/>
      <c r="M44" s="25"/>
      <c r="N44" s="25"/>
      <c r="O44" s="25">
        <v>43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64</v>
      </c>
      <c r="L45" s="13"/>
      <c r="M45" s="26"/>
      <c r="N45" s="26"/>
      <c r="O45" s="26">
        <v>6333200.0</v>
      </c>
    </row>
    <row r="46" spans="1:19">
      <c r="A46" s="15" t="s">
        <v>65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66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67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69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80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81</v>
      </c>
      <c r="N4" s="10" t="s">
        <v>5</v>
      </c>
      <c r="O4" s="10">
        <v>251100046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70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82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>
        <v>1</v>
      </c>
      <c r="C9" s="4" t="s">
        <v>36</v>
      </c>
      <c r="D9" s="4">
        <v>12</v>
      </c>
      <c r="E9" s="4">
        <v>8.0</v>
      </c>
      <c r="F9" s="4">
        <v>1.0</v>
      </c>
      <c r="G9" s="4">
        <v>3.0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2709665.0</v>
      </c>
      <c r="P9" s="10"/>
      <c r="Q9" s="10"/>
    </row>
    <row r="10" spans="1:19">
      <c r="A10" s="6">
        <v>17</v>
      </c>
      <c r="B10" s="4">
        <v>2</v>
      </c>
      <c r="C10" s="4" t="s">
        <v>36</v>
      </c>
      <c r="D10" s="4">
        <v>12</v>
      </c>
      <c r="E10" s="4">
        <v>8.0</v>
      </c>
      <c r="F10" s="4">
        <v>1.0</v>
      </c>
      <c r="G10" s="4">
        <v>3.0</v>
      </c>
      <c r="H10" s="4">
        <v>0.0</v>
      </c>
      <c r="I10" s="4">
        <v>0.0</v>
      </c>
      <c r="K10" s="10" t="s">
        <v>27</v>
      </c>
      <c r="L10" s="10"/>
      <c r="M10" s="25" t="s">
        <v>83</v>
      </c>
      <c r="N10" s="25">
        <v>411148.56</v>
      </c>
      <c r="O10" s="25"/>
      <c r="P10" s="10"/>
      <c r="Q10" s="10"/>
    </row>
    <row r="11" spans="1:19">
      <c r="A11" s="6">
        <v>18</v>
      </c>
      <c r="B11" s="4">
        <v>3</v>
      </c>
      <c r="C11" s="4" t="s">
        <v>36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84</v>
      </c>
      <c r="N11" s="25">
        <v>2231949.33</v>
      </c>
      <c r="O11" s="25"/>
      <c r="P11" s="10"/>
      <c r="Q11" s="10"/>
    </row>
    <row r="12" spans="1:19">
      <c r="A12" s="6">
        <v>19</v>
      </c>
      <c r="B12" s="4">
        <v>4</v>
      </c>
      <c r="C12" s="4" t="s">
        <v>36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74</v>
      </c>
      <c r="N12" s="25">
        <v>117471.02</v>
      </c>
      <c r="O12" s="25"/>
      <c r="P12" s="10"/>
      <c r="Q12" s="10"/>
    </row>
    <row r="13" spans="1:19">
      <c r="A13" s="6">
        <v>20</v>
      </c>
      <c r="B13" s="4">
        <v>5</v>
      </c>
      <c r="C13" s="4" t="s">
        <v>36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75</v>
      </c>
      <c r="N13" s="25">
        <v>548198.08</v>
      </c>
      <c r="O13" s="25"/>
      <c r="P13" s="10"/>
      <c r="Q13" s="10"/>
    </row>
    <row r="14" spans="1:19">
      <c r="A14" s="6">
        <v>21</v>
      </c>
      <c r="B14" s="4" t="s">
        <v>25</v>
      </c>
      <c r="C14" s="4" t="s">
        <v>36</v>
      </c>
      <c r="D14" s="4">
        <v>12</v>
      </c>
      <c r="E14" s="4">
        <v>0.0</v>
      </c>
      <c r="F14" s="4">
        <v>0.0</v>
      </c>
      <c r="G14" s="4">
        <v>8.0</v>
      </c>
      <c r="H14" s="4">
        <v>1.0</v>
      </c>
      <c r="I14" s="4">
        <v>3.0</v>
      </c>
      <c r="K14" s="13" t="s">
        <v>35</v>
      </c>
      <c r="L14" s="13"/>
      <c r="M14" s="26"/>
      <c r="N14" s="26"/>
      <c r="O14" s="26">
        <v>3308767.0</v>
      </c>
      <c r="P14" s="10"/>
      <c r="Q14" s="10"/>
    </row>
    <row r="15" spans="1:19">
      <c r="A15" s="6">
        <v>22</v>
      </c>
      <c r="B15" s="4" t="s">
        <v>25</v>
      </c>
      <c r="C15" s="4" t="s">
        <v>85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25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25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37</v>
      </c>
      <c r="L17" s="10"/>
      <c r="M17" s="27" t="s">
        <v>86</v>
      </c>
      <c r="N17" s="25">
        <v>0</v>
      </c>
      <c r="O17" s="25"/>
      <c r="P17" s="10"/>
      <c r="Q17" s="10"/>
    </row>
    <row r="18" spans="1:19">
      <c r="A18" s="6">
        <v>25</v>
      </c>
      <c r="B18" s="4">
        <v>1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39</v>
      </c>
      <c r="L18" s="10"/>
      <c r="M18" s="27" t="s">
        <v>86</v>
      </c>
      <c r="N18" s="25">
        <v>0</v>
      </c>
      <c r="O18" s="25"/>
      <c r="P18" s="10"/>
      <c r="Q18" s="10"/>
    </row>
    <row r="19" spans="1:19">
      <c r="A19" s="6">
        <v>26</v>
      </c>
      <c r="B19" s="4">
        <v>2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87</v>
      </c>
      <c r="N19" s="25">
        <v>0</v>
      </c>
      <c r="O19" s="25"/>
      <c r="P19" s="10"/>
      <c r="Q19" s="10"/>
    </row>
    <row r="20" spans="1:19">
      <c r="A20" s="6">
        <v>27</v>
      </c>
      <c r="B20" s="4">
        <v>3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42</v>
      </c>
      <c r="L20" s="10"/>
      <c r="M20" s="25"/>
      <c r="N20" s="25">
        <v>1000000</v>
      </c>
      <c r="O20" s="25"/>
      <c r="P20" s="10"/>
      <c r="Q20" s="10"/>
    </row>
    <row r="21" spans="1:19">
      <c r="A21" s="6">
        <v>28</v>
      </c>
      <c r="B21" s="4">
        <v>4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43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>
        <v>5</v>
      </c>
      <c r="C22" s="4">
        <v>1</v>
      </c>
      <c r="D22" s="4">
        <v>12</v>
      </c>
      <c r="E22" s="4">
        <v>8.0</v>
      </c>
      <c r="F22" s="4">
        <v>1.0</v>
      </c>
      <c r="G22" s="4">
        <v>3.0</v>
      </c>
      <c r="H22" s="4">
        <v>0.0</v>
      </c>
      <c r="I22" s="4">
        <v>0.0</v>
      </c>
      <c r="K22" s="13" t="s">
        <v>44</v>
      </c>
      <c r="L22" s="13"/>
      <c r="M22" s="26"/>
      <c r="N22" s="26"/>
      <c r="O22" s="26">
        <v>1000000</v>
      </c>
      <c r="P22" s="10"/>
      <c r="Q22" s="10"/>
    </row>
    <row r="23" spans="1:19">
      <c r="A23" s="6">
        <v>30</v>
      </c>
      <c r="B23" s="4" t="s">
        <v>25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25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45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 t="s">
        <v>25</v>
      </c>
      <c r="C25" s="4">
        <v>0</v>
      </c>
      <c r="D25" s="4">
        <v>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K25" s="10" t="s">
        <v>46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 t="s">
        <v>47</v>
      </c>
      <c r="C26" s="4" t="s">
        <v>47</v>
      </c>
      <c r="D26" s="4">
        <v>12</v>
      </c>
      <c r="E26" s="4">
        <v>0.0</v>
      </c>
      <c r="F26" s="4">
        <v>0.0</v>
      </c>
      <c r="G26" s="4">
        <v>7.0</v>
      </c>
      <c r="H26" s="4">
        <v>1.0</v>
      </c>
      <c r="I26" s="4">
        <v>4.0</v>
      </c>
      <c r="K26" s="10" t="s">
        <v>88</v>
      </c>
      <c r="L26" s="10"/>
      <c r="M26" s="25"/>
      <c r="N26" s="25">
        <v>-169354.05</v>
      </c>
      <c r="O26" s="25"/>
      <c r="P26" s="10"/>
      <c r="Q26" s="10"/>
    </row>
    <row r="27" spans="1:19">
      <c r="A27" s="6">
        <v>4</v>
      </c>
      <c r="B27" s="4">
        <v>2</v>
      </c>
      <c r="C27" s="4">
        <v>1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49</v>
      </c>
      <c r="L27" s="10"/>
      <c r="M27" s="25"/>
      <c r="N27" s="25">
        <v>150000</v>
      </c>
      <c r="O27" s="25"/>
      <c r="P27" s="10"/>
      <c r="Q27" s="10"/>
    </row>
    <row r="28" spans="1:19">
      <c r="A28" s="6">
        <v>5</v>
      </c>
      <c r="B28" s="4">
        <v>3</v>
      </c>
      <c r="C28" s="4">
        <v>1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50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4</v>
      </c>
      <c r="C29" s="4">
        <v>1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51</v>
      </c>
      <c r="L29" s="13"/>
      <c r="M29" s="26"/>
      <c r="N29" s="26"/>
      <c r="O29" s="26">
        <v>7203657.43</v>
      </c>
      <c r="P29" s="10"/>
      <c r="Q29" s="10"/>
    </row>
    <row r="30" spans="1:19">
      <c r="A30" s="6">
        <v>7</v>
      </c>
      <c r="B30" s="4">
        <v>5</v>
      </c>
      <c r="C30" s="4">
        <v>1</v>
      </c>
      <c r="D30" s="4">
        <v>12</v>
      </c>
      <c r="E30" s="4">
        <v>8.0</v>
      </c>
      <c r="F30" s="4">
        <v>1.0</v>
      </c>
      <c r="G30" s="4">
        <v>3.0</v>
      </c>
      <c r="H30" s="4">
        <v>0.0</v>
      </c>
      <c r="I30" s="4">
        <v>0.0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25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52</v>
      </c>
      <c r="L31" s="10"/>
      <c r="M31" s="28" t="s">
        <v>78</v>
      </c>
      <c r="N31" s="28" t="s">
        <v>89</v>
      </c>
      <c r="O31" s="25">
        <f>ROUNDDOWN(-(90045.00),0)</f>
        <v>-90045</v>
      </c>
      <c r="P31" s="10"/>
      <c r="Q31" s="10"/>
    </row>
    <row r="32" spans="1:19">
      <c r="A32" s="6">
        <v>9</v>
      </c>
      <c r="B32" s="4" t="s">
        <v>25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45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25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55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25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56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25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46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25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57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25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58</v>
      </c>
      <c r="L37" s="13"/>
      <c r="M37" s="26"/>
      <c r="N37" s="26"/>
      <c r="O37" s="26">
        <v>6773550.0</v>
      </c>
      <c r="P37" s="10"/>
      <c r="Q37" s="10"/>
    </row>
    <row r="38" spans="1:19">
      <c r="A38" s="6">
        <v>15</v>
      </c>
      <c r="B38" s="4" t="s">
        <v>25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59</v>
      </c>
      <c r="B39" s="8"/>
      <c r="C39" s="9">
        <v>16</v>
      </c>
      <c r="D39" s="9">
        <v>192</v>
      </c>
      <c r="E39" s="9">
        <v>112.0</v>
      </c>
      <c r="F39" s="9">
        <v>14.0</v>
      </c>
      <c r="G39" s="9">
        <v>57.0</v>
      </c>
      <c r="H39" s="9">
        <v>2.0</v>
      </c>
      <c r="I39" s="9">
        <v>7.0</v>
      </c>
      <c r="K39" s="10" t="s">
        <v>43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60</v>
      </c>
      <c r="B40" s="8"/>
      <c r="C40" s="9">
        <v>80.0</v>
      </c>
      <c r="D40" s="9"/>
      <c r="E40" s="9"/>
      <c r="F40" s="9"/>
      <c r="G40" s="9"/>
      <c r="H40" s="9"/>
      <c r="I40" s="9"/>
      <c r="K40" s="10" t="s">
        <v>61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62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63</v>
      </c>
      <c r="L44" s="10"/>
      <c r="M44" s="25"/>
      <c r="N44" s="25"/>
      <c r="O44" s="25">
        <v>50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64</v>
      </c>
      <c r="L45" s="13"/>
      <c r="M45" s="26"/>
      <c r="N45" s="26"/>
      <c r="O45" s="26">
        <v>6773600.0</v>
      </c>
    </row>
    <row r="46" spans="1:19">
      <c r="A46" s="15" t="s">
        <v>65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66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67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81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90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0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91</v>
      </c>
      <c r="N4" s="10" t="s">
        <v>5</v>
      </c>
      <c r="O4" s="10">
        <v>251100050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92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93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25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2370957.0</v>
      </c>
      <c r="P9" s="10"/>
      <c r="Q9" s="10"/>
    </row>
    <row r="10" spans="1:19">
      <c r="A10" s="6">
        <v>17</v>
      </c>
      <c r="B10" s="4" t="s">
        <v>25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28</v>
      </c>
      <c r="N10" s="25">
        <v>323045.3</v>
      </c>
      <c r="O10" s="25"/>
      <c r="P10" s="10"/>
      <c r="Q10" s="10"/>
    </row>
    <row r="11" spans="1:19">
      <c r="A11" s="6">
        <v>18</v>
      </c>
      <c r="B11" s="4">
        <v>1</v>
      </c>
      <c r="C11" s="4">
        <v>1</v>
      </c>
      <c r="D11" s="4">
        <v>12</v>
      </c>
      <c r="E11" s="4">
        <v>8.0</v>
      </c>
      <c r="F11" s="4">
        <v>1.0</v>
      </c>
      <c r="G11" s="4">
        <v>3.0</v>
      </c>
      <c r="H11" s="4">
        <v>0.0</v>
      </c>
      <c r="I11" s="4">
        <v>0.0</v>
      </c>
      <c r="K11" s="10" t="s">
        <v>29</v>
      </c>
      <c r="L11" s="10"/>
      <c r="M11" s="25" t="s">
        <v>94</v>
      </c>
      <c r="N11" s="25">
        <v>2192792.32</v>
      </c>
      <c r="O11" s="25"/>
      <c r="P11" s="10"/>
      <c r="Q11" s="10"/>
    </row>
    <row r="12" spans="1:19">
      <c r="A12" s="6">
        <v>19</v>
      </c>
      <c r="B12" s="4">
        <v>2</v>
      </c>
      <c r="C12" s="4">
        <v>1</v>
      </c>
      <c r="D12" s="4">
        <v>12</v>
      </c>
      <c r="E12" s="4">
        <v>8.0</v>
      </c>
      <c r="F12" s="4">
        <v>1.0</v>
      </c>
      <c r="G12" s="4">
        <v>3.0</v>
      </c>
      <c r="H12" s="4">
        <v>0.0</v>
      </c>
      <c r="I12" s="4">
        <v>0.0</v>
      </c>
      <c r="K12" s="10" t="s">
        <v>31</v>
      </c>
      <c r="L12" s="10"/>
      <c r="M12" s="25" t="s">
        <v>95</v>
      </c>
      <c r="N12" s="25">
        <v>176206.53</v>
      </c>
      <c r="O12" s="25"/>
      <c r="P12" s="10"/>
      <c r="Q12" s="10"/>
    </row>
    <row r="13" spans="1:19">
      <c r="A13" s="6">
        <v>20</v>
      </c>
      <c r="B13" s="4">
        <v>3</v>
      </c>
      <c r="C13" s="4">
        <v>1</v>
      </c>
      <c r="D13" s="4">
        <v>12</v>
      </c>
      <c r="E13" s="4">
        <v>8.0</v>
      </c>
      <c r="F13" s="4">
        <v>1.0</v>
      </c>
      <c r="G13" s="4">
        <v>3.0</v>
      </c>
      <c r="H13" s="4">
        <v>0.0</v>
      </c>
      <c r="I13" s="4">
        <v>0.0</v>
      </c>
      <c r="K13" s="10" t="s">
        <v>33</v>
      </c>
      <c r="L13" s="10"/>
      <c r="M13" s="25" t="s">
        <v>96</v>
      </c>
      <c r="N13" s="25">
        <v>783140.12</v>
      </c>
      <c r="O13" s="25"/>
      <c r="P13" s="10"/>
      <c r="Q13" s="10"/>
    </row>
    <row r="14" spans="1:19">
      <c r="A14" s="6">
        <v>21</v>
      </c>
      <c r="B14" s="4">
        <v>4</v>
      </c>
      <c r="C14" s="4">
        <v>1</v>
      </c>
      <c r="D14" s="4">
        <v>12</v>
      </c>
      <c r="E14" s="4">
        <v>8.0</v>
      </c>
      <c r="F14" s="4">
        <v>1.0</v>
      </c>
      <c r="G14" s="4">
        <v>3.0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3475184.0</v>
      </c>
      <c r="P14" s="10"/>
      <c r="Q14" s="10"/>
    </row>
    <row r="15" spans="1:19">
      <c r="A15" s="6">
        <v>22</v>
      </c>
      <c r="B15" s="4" t="s">
        <v>25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25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 t="s">
        <v>25</v>
      </c>
      <c r="C17" s="4">
        <v>0</v>
      </c>
      <c r="D17" s="4">
        <v>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K17" s="10" t="s">
        <v>37</v>
      </c>
      <c r="L17" s="10"/>
      <c r="M17" s="27" t="s">
        <v>76</v>
      </c>
      <c r="N17" s="25">
        <v>0</v>
      </c>
      <c r="O17" s="25"/>
      <c r="P17" s="10"/>
      <c r="Q17" s="10"/>
    </row>
    <row r="18" spans="1:19">
      <c r="A18" s="6">
        <v>25</v>
      </c>
      <c r="B18" s="4" t="s">
        <v>25</v>
      </c>
      <c r="C18" s="4">
        <v>0</v>
      </c>
      <c r="D18" s="4">
        <v>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K18" s="10" t="s">
        <v>39</v>
      </c>
      <c r="L18" s="10"/>
      <c r="M18" s="27" t="s">
        <v>76</v>
      </c>
      <c r="N18" s="25">
        <v>0</v>
      </c>
      <c r="O18" s="25"/>
      <c r="P18" s="10"/>
      <c r="Q18" s="10"/>
    </row>
    <row r="19" spans="1:19">
      <c r="A19" s="6">
        <v>26</v>
      </c>
      <c r="B19" s="4" t="s">
        <v>25</v>
      </c>
      <c r="C19" s="4">
        <v>0</v>
      </c>
      <c r="D19" s="4">
        <v>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K19" s="10" t="s">
        <v>40</v>
      </c>
      <c r="L19" s="10"/>
      <c r="M19" s="27" t="s">
        <v>97</v>
      </c>
      <c r="N19" s="25">
        <v>0</v>
      </c>
      <c r="O19" s="25"/>
      <c r="P19" s="10"/>
      <c r="Q19" s="10"/>
    </row>
    <row r="20" spans="1:19">
      <c r="A20" s="6">
        <v>27</v>
      </c>
      <c r="B20" s="4" t="s">
        <v>25</v>
      </c>
      <c r="C20" s="4">
        <v>0</v>
      </c>
      <c r="D20" s="4">
        <v>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K20" s="10" t="s">
        <v>42</v>
      </c>
      <c r="L20" s="10"/>
      <c r="M20" s="25"/>
      <c r="N20" s="25">
        <v>1000000</v>
      </c>
      <c r="O20" s="25"/>
      <c r="P20" s="10"/>
      <c r="Q20" s="10"/>
    </row>
    <row r="21" spans="1:19">
      <c r="A21" s="6">
        <v>28</v>
      </c>
      <c r="B21" s="4" t="s">
        <v>25</v>
      </c>
      <c r="C21" s="4">
        <v>0</v>
      </c>
      <c r="D21" s="4">
        <v>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K21" s="10" t="s">
        <v>43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25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44</v>
      </c>
      <c r="L22" s="13"/>
      <c r="M22" s="26"/>
      <c r="N22" s="26"/>
      <c r="O22" s="26">
        <v>1000000</v>
      </c>
      <c r="P22" s="10"/>
      <c r="Q22" s="10"/>
    </row>
    <row r="23" spans="1:19">
      <c r="A23" s="6">
        <v>30</v>
      </c>
      <c r="B23" s="4" t="s">
        <v>25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>
        <v>1</v>
      </c>
      <c r="C24" s="4">
        <v>1</v>
      </c>
      <c r="D24" s="4">
        <v>12</v>
      </c>
      <c r="E24" s="4">
        <v>8.0</v>
      </c>
      <c r="F24" s="4">
        <v>1.0</v>
      </c>
      <c r="G24" s="4">
        <v>3.0</v>
      </c>
      <c r="H24" s="4">
        <v>0.0</v>
      </c>
      <c r="I24" s="4">
        <v>0.0</v>
      </c>
      <c r="K24" s="10" t="s">
        <v>45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2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46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3</v>
      </c>
      <c r="C26" s="4" t="s">
        <v>98</v>
      </c>
      <c r="D26" s="4">
        <v>12</v>
      </c>
      <c r="E26" s="4">
        <v>0.0</v>
      </c>
      <c r="F26" s="4">
        <v>0.0</v>
      </c>
      <c r="G26" s="4">
        <v>7.0</v>
      </c>
      <c r="H26" s="4">
        <v>1.0</v>
      </c>
      <c r="I26" s="4">
        <v>4.0</v>
      </c>
      <c r="K26" s="10" t="s">
        <v>48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4</v>
      </c>
      <c r="C27" s="4" t="s">
        <v>36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49</v>
      </c>
      <c r="L27" s="10"/>
      <c r="M27" s="25"/>
      <c r="N27" s="25">
        <v>150000</v>
      </c>
      <c r="O27" s="25"/>
      <c r="P27" s="10"/>
      <c r="Q27" s="10"/>
    </row>
    <row r="28" spans="1:19">
      <c r="A28" s="6">
        <v>5</v>
      </c>
      <c r="B28" s="4">
        <v>5</v>
      </c>
      <c r="C28" s="4" t="s">
        <v>36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50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 t="s">
        <v>25</v>
      </c>
      <c r="C29" s="4" t="s">
        <v>36</v>
      </c>
      <c r="D29" s="4">
        <v>12</v>
      </c>
      <c r="E29" s="4">
        <v>0.0</v>
      </c>
      <c r="F29" s="4">
        <v>0.0</v>
      </c>
      <c r="G29" s="4">
        <v>8.0</v>
      </c>
      <c r="H29" s="4">
        <v>1.0</v>
      </c>
      <c r="I29" s="4">
        <v>3.0</v>
      </c>
      <c r="K29" s="13" t="s">
        <v>51</v>
      </c>
      <c r="L29" s="13"/>
      <c r="M29" s="26"/>
      <c r="N29" s="26"/>
      <c r="O29" s="26">
        <v>7200720.66</v>
      </c>
      <c r="P29" s="10"/>
      <c r="Q29" s="10"/>
    </row>
    <row r="30" spans="1:19">
      <c r="A30" s="6">
        <v>7</v>
      </c>
      <c r="B30" s="4" t="s">
        <v>25</v>
      </c>
      <c r="C30" s="4">
        <v>1</v>
      </c>
      <c r="D30" s="4">
        <v>12</v>
      </c>
      <c r="E30" s="4">
        <v>0.0</v>
      </c>
      <c r="F30" s="4">
        <v>0.0</v>
      </c>
      <c r="G30" s="4">
        <v>8.0</v>
      </c>
      <c r="H30" s="4">
        <v>1.0</v>
      </c>
      <c r="I30" s="4">
        <v>3.0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25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52</v>
      </c>
      <c r="L31" s="10"/>
      <c r="M31" s="28" t="s">
        <v>99</v>
      </c>
      <c r="N31" s="28" t="s">
        <v>100</v>
      </c>
      <c r="O31" s="25">
        <f>ROUNDDOWN(-(36003.00),0)</f>
        <v>-36003</v>
      </c>
      <c r="P31" s="10"/>
      <c r="Q31" s="10"/>
    </row>
    <row r="32" spans="1:19">
      <c r="A32" s="6">
        <v>9</v>
      </c>
      <c r="B32" s="4" t="s">
        <v>25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45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>
        <v>1</v>
      </c>
      <c r="C33" s="4">
        <v>1</v>
      </c>
      <c r="D33" s="4">
        <v>12</v>
      </c>
      <c r="E33" s="4">
        <v>8.0</v>
      </c>
      <c r="F33" s="4">
        <v>1.0</v>
      </c>
      <c r="G33" s="4">
        <v>3.0</v>
      </c>
      <c r="H33" s="4">
        <v>0.0</v>
      </c>
      <c r="I33" s="4">
        <v>0.0</v>
      </c>
      <c r="K33" s="10" t="s">
        <v>55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>
        <v>2</v>
      </c>
      <c r="C34" s="4">
        <v>1</v>
      </c>
      <c r="D34" s="4">
        <v>12</v>
      </c>
      <c r="E34" s="4">
        <v>8.0</v>
      </c>
      <c r="F34" s="4">
        <v>1.0</v>
      </c>
      <c r="G34" s="4">
        <v>3.0</v>
      </c>
      <c r="H34" s="4">
        <v>0.0</v>
      </c>
      <c r="I34" s="4">
        <v>0.0</v>
      </c>
      <c r="K34" s="10" t="s">
        <v>56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>
        <v>3</v>
      </c>
      <c r="C35" s="4">
        <v>1</v>
      </c>
      <c r="D35" s="4">
        <v>12</v>
      </c>
      <c r="E35" s="4">
        <v>8.0</v>
      </c>
      <c r="F35" s="4">
        <v>1.0</v>
      </c>
      <c r="G35" s="4">
        <v>3.0</v>
      </c>
      <c r="H35" s="4">
        <v>0.0</v>
      </c>
      <c r="I35" s="4">
        <v>0.0</v>
      </c>
      <c r="K35" s="10" t="s">
        <v>46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25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57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25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58</v>
      </c>
      <c r="L37" s="13"/>
      <c r="M37" s="26"/>
      <c r="N37" s="26"/>
      <c r="O37" s="26">
        <v>6824655.0</v>
      </c>
      <c r="P37" s="10"/>
      <c r="Q37" s="10"/>
    </row>
    <row r="38" spans="1:19">
      <c r="A38" s="6">
        <v>15</v>
      </c>
      <c r="B38" s="4" t="s">
        <v>25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59</v>
      </c>
      <c r="B39" s="8"/>
      <c r="C39" s="9">
        <v>14</v>
      </c>
      <c r="D39" s="9">
        <v>168</v>
      </c>
      <c r="E39" s="9">
        <v>88.0</v>
      </c>
      <c r="F39" s="9">
        <v>11.0</v>
      </c>
      <c r="G39" s="9">
        <v>56.0</v>
      </c>
      <c r="H39" s="9">
        <v>3.0</v>
      </c>
      <c r="I39" s="9">
        <v>10.0</v>
      </c>
      <c r="K39" s="10" t="s">
        <v>43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60</v>
      </c>
      <c r="B40" s="8"/>
      <c r="C40" s="9">
        <v>80.0</v>
      </c>
      <c r="D40" s="9"/>
      <c r="E40" s="9"/>
      <c r="F40" s="9"/>
      <c r="G40" s="9"/>
      <c r="H40" s="9"/>
      <c r="I40" s="9"/>
      <c r="K40" s="10" t="s">
        <v>61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62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63</v>
      </c>
      <c r="L44" s="10"/>
      <c r="M44" s="25"/>
      <c r="N44" s="25"/>
      <c r="O44" s="25">
        <v>45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64</v>
      </c>
      <c r="L45" s="13"/>
      <c r="M45" s="26"/>
      <c r="N45" s="26"/>
      <c r="O45" s="26">
        <v>6824700.0</v>
      </c>
    </row>
    <row r="46" spans="1:19">
      <c r="A46" s="15" t="s">
        <v>65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66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67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91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101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8"/>
  <sheetViews>
    <sheetView tabSelected="1" workbookViewId="0" showGridLines="true" showRowColHeaders="1">
      <selection activeCell="M6" sqref="M6:O68"/>
    </sheetView>
  </sheetViews>
  <sheetFormatPr defaultRowHeight="14.4" outlineLevelRow="0" outlineLevelCol="0"/>
  <cols>
    <col min="1" max="1" width="6" customWidth="true" style="0"/>
    <col min="2" max="2" width="9" customWidth="true" style="0"/>
    <col min="3" max="3" width="7" customWidth="true" style="0"/>
    <col min="4" max="4" width="8" customWidth="true" style="0"/>
    <col min="5" max="5" width="5" customWidth="true" style="0"/>
    <col min="6" max="6" width="5" customWidth="true" style="0"/>
    <col min="7" max="7" width="5" customWidth="true" style="0"/>
    <col min="8" max="8" width="5" customWidth="true" style="0"/>
    <col min="9" max="9" width="5" customWidth="true" style="0"/>
    <col min="10" max="10" width="3" customWidth="true" style="0"/>
    <col min="12" max="12" width="8" customWidth="true" style="0"/>
    <col min="11" max="11" width="19" customWidth="true" style="0"/>
    <col min="13" max="13" width="29" customWidth="true" style="0"/>
    <col min="14" max="14" width="14" customWidth="true" style="0"/>
    <col min="15" max="15" width="23" customWidth="true" style="0"/>
  </cols>
  <sheetData>
    <row r="1" spans="1:19">
      <c r="A1" s="1" t="s">
        <v>0</v>
      </c>
      <c r="B1" s="1"/>
      <c r="C1" s="1"/>
      <c r="D1" s="1"/>
      <c r="M1"/>
    </row>
    <row r="2" spans="1:19">
      <c r="A2" s="2" t="s">
        <v>1</v>
      </c>
      <c r="B2" s="2"/>
      <c r="C2" s="2"/>
      <c r="D2" s="2"/>
    </row>
    <row r="3" spans="1:19">
      <c r="K3" s="10"/>
      <c r="L3" s="10"/>
      <c r="M3" s="10"/>
      <c r="N3" s="10"/>
      <c r="O3" s="10"/>
      <c r="P3" s="10"/>
      <c r="Q3" s="10"/>
    </row>
    <row r="4" spans="1:19">
      <c r="A4" s="3" t="s">
        <v>2</v>
      </c>
      <c r="B4" s="3"/>
      <c r="C4" s="3"/>
      <c r="D4" s="3"/>
      <c r="E4" s="3"/>
      <c r="F4" s="3"/>
      <c r="G4" s="3"/>
      <c r="K4" s="11" t="s">
        <v>3</v>
      </c>
      <c r="L4" s="11"/>
      <c r="M4" s="10" t="s">
        <v>102</v>
      </c>
      <c r="N4" s="10" t="s">
        <v>5</v>
      </c>
      <c r="O4" s="10">
        <v>251100053</v>
      </c>
      <c r="P4" s="10"/>
      <c r="Q4" s="10"/>
    </row>
    <row r="5" spans="1:19">
      <c r="A5" t="s">
        <v>6</v>
      </c>
      <c r="K5" s="10" t="s">
        <v>7</v>
      </c>
      <c r="L5" s="10"/>
      <c r="M5" s="10" t="s">
        <v>8</v>
      </c>
      <c r="N5" s="10" t="s">
        <v>9</v>
      </c>
      <c r="O5" s="10" t="s">
        <v>10</v>
      </c>
      <c r="P5" s="10"/>
      <c r="Q5" s="10"/>
    </row>
    <row r="6" spans="1:19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/>
      <c r="H6" s="5"/>
      <c r="I6" s="5"/>
      <c r="K6" s="10" t="s">
        <v>17</v>
      </c>
      <c r="L6" s="10"/>
      <c r="M6" s="23">
        <v>3387081.0</v>
      </c>
      <c r="N6" s="25" t="s">
        <v>18</v>
      </c>
      <c r="O6" s="25" t="s">
        <v>70</v>
      </c>
      <c r="P6" s="10"/>
      <c r="Q6" s="10"/>
      <c r="S6" t="s">
        <v>20</v>
      </c>
    </row>
    <row r="7" spans="1:19">
      <c r="A7" s="5"/>
      <c r="B7" s="5"/>
      <c r="C7" s="5"/>
      <c r="D7" s="5"/>
      <c r="E7" s="5"/>
      <c r="F7" s="5">
        <v>1</v>
      </c>
      <c r="G7" s="5">
        <v>2</v>
      </c>
      <c r="H7" s="5">
        <v>3</v>
      </c>
      <c r="I7" s="5">
        <v>4</v>
      </c>
      <c r="K7" s="10" t="s">
        <v>21</v>
      </c>
      <c r="L7" s="10"/>
      <c r="M7" s="23">
        <v>19578.502890173</v>
      </c>
      <c r="N7" s="25" t="s">
        <v>22</v>
      </c>
      <c r="O7" s="25" t="s">
        <v>23</v>
      </c>
      <c r="P7" s="10"/>
      <c r="Q7" s="10"/>
      <c r="S7" t="s">
        <v>103</v>
      </c>
    </row>
    <row r="8" spans="1:19">
      <c r="K8" s="10"/>
      <c r="L8" s="10"/>
      <c r="M8" s="24"/>
      <c r="N8" s="24"/>
      <c r="O8" s="25"/>
      <c r="P8" s="10"/>
      <c r="Q8" s="10"/>
    </row>
    <row r="9" spans="1:19">
      <c r="A9" s="6">
        <v>16</v>
      </c>
      <c r="B9" s="4" t="s">
        <v>25</v>
      </c>
      <c r="C9" s="4">
        <v>0</v>
      </c>
      <c r="D9" s="4">
        <v>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K9" s="12" t="s">
        <v>26</v>
      </c>
      <c r="L9" s="10"/>
      <c r="M9" s="24"/>
      <c r="N9" s="24"/>
      <c r="O9" s="23">
        <v>1862895.0</v>
      </c>
      <c r="P9" s="10"/>
      <c r="Q9" s="10"/>
    </row>
    <row r="10" spans="1:19">
      <c r="A10" s="6">
        <v>17</v>
      </c>
      <c r="B10" s="4" t="s">
        <v>25</v>
      </c>
      <c r="C10" s="4">
        <v>0</v>
      </c>
      <c r="D10" s="4">
        <v>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K10" s="10" t="s">
        <v>27</v>
      </c>
      <c r="L10" s="10"/>
      <c r="M10" s="25" t="s">
        <v>104</v>
      </c>
      <c r="N10" s="25">
        <v>264309.79</v>
      </c>
      <c r="O10" s="25"/>
      <c r="P10" s="10"/>
      <c r="Q10" s="10"/>
    </row>
    <row r="11" spans="1:19">
      <c r="A11" s="6">
        <v>18</v>
      </c>
      <c r="B11" s="4" t="s">
        <v>25</v>
      </c>
      <c r="C11" s="4">
        <v>0</v>
      </c>
      <c r="D11" s="4">
        <v>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K11" s="10" t="s">
        <v>29</v>
      </c>
      <c r="L11" s="10"/>
      <c r="M11" s="25" t="s">
        <v>105</v>
      </c>
      <c r="N11" s="25">
        <v>1644594.24</v>
      </c>
      <c r="O11" s="25"/>
      <c r="P11" s="10"/>
      <c r="Q11" s="10"/>
    </row>
    <row r="12" spans="1:19">
      <c r="A12" s="6">
        <v>19</v>
      </c>
      <c r="B12" s="4" t="s">
        <v>25</v>
      </c>
      <c r="C12" s="4">
        <v>0</v>
      </c>
      <c r="D12" s="4">
        <v>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K12" s="10" t="s">
        <v>31</v>
      </c>
      <c r="L12" s="10"/>
      <c r="M12" s="25" t="s">
        <v>74</v>
      </c>
      <c r="N12" s="25">
        <v>117471.02</v>
      </c>
      <c r="O12" s="25"/>
      <c r="P12" s="10"/>
      <c r="Q12" s="10"/>
    </row>
    <row r="13" spans="1:19">
      <c r="A13" s="6">
        <v>20</v>
      </c>
      <c r="B13" s="4" t="s">
        <v>25</v>
      </c>
      <c r="C13" s="4">
        <v>0</v>
      </c>
      <c r="D13" s="4">
        <v>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K13" s="10" t="s">
        <v>33</v>
      </c>
      <c r="L13" s="10"/>
      <c r="M13" s="25" t="s">
        <v>75</v>
      </c>
      <c r="N13" s="25">
        <v>548198.08</v>
      </c>
      <c r="O13" s="25"/>
      <c r="P13" s="10"/>
      <c r="Q13" s="10"/>
    </row>
    <row r="14" spans="1:19">
      <c r="A14" s="6">
        <v>21</v>
      </c>
      <c r="B14" s="4" t="s">
        <v>25</v>
      </c>
      <c r="C14" s="4">
        <v>0</v>
      </c>
      <c r="D14" s="4">
        <v>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K14" s="13" t="s">
        <v>35</v>
      </c>
      <c r="L14" s="13"/>
      <c r="M14" s="26"/>
      <c r="N14" s="26"/>
      <c r="O14" s="26">
        <v>2574573.0</v>
      </c>
      <c r="P14" s="10"/>
      <c r="Q14" s="10"/>
    </row>
    <row r="15" spans="1:19">
      <c r="A15" s="6">
        <v>22</v>
      </c>
      <c r="B15" s="4" t="s">
        <v>25</v>
      </c>
      <c r="C15" s="4">
        <v>0</v>
      </c>
      <c r="D15" s="4">
        <v>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K15" s="10"/>
      <c r="L15" s="10"/>
      <c r="M15" s="25"/>
      <c r="N15" s="25"/>
      <c r="O15" s="25"/>
      <c r="P15" s="10"/>
      <c r="Q15" s="10"/>
    </row>
    <row r="16" spans="1:19">
      <c r="A16" s="6">
        <v>23</v>
      </c>
      <c r="B16" s="4" t="s">
        <v>25</v>
      </c>
      <c r="C16" s="4">
        <v>0</v>
      </c>
      <c r="D16" s="4">
        <v>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K16" s="10"/>
      <c r="L16" s="10"/>
      <c r="M16" s="25"/>
      <c r="N16" s="25"/>
      <c r="O16" s="25"/>
      <c r="P16" s="10"/>
      <c r="Q16" s="10"/>
    </row>
    <row r="17" spans="1:19">
      <c r="A17" s="6">
        <v>24</v>
      </c>
      <c r="B17" s="4">
        <v>1</v>
      </c>
      <c r="C17" s="4">
        <v>1</v>
      </c>
      <c r="D17" s="4">
        <v>12</v>
      </c>
      <c r="E17" s="4">
        <v>8.0</v>
      </c>
      <c r="F17" s="4">
        <v>1.0</v>
      </c>
      <c r="G17" s="4">
        <v>3.0</v>
      </c>
      <c r="H17" s="4">
        <v>0.0</v>
      </c>
      <c r="I17" s="4">
        <v>0.0</v>
      </c>
      <c r="K17" s="10" t="s">
        <v>37</v>
      </c>
      <c r="L17" s="10"/>
      <c r="M17" s="27" t="s">
        <v>106</v>
      </c>
      <c r="N17" s="25">
        <v>0</v>
      </c>
      <c r="O17" s="25"/>
      <c r="P17" s="10"/>
      <c r="Q17" s="10"/>
    </row>
    <row r="18" spans="1:19">
      <c r="A18" s="6">
        <v>25</v>
      </c>
      <c r="B18" s="4">
        <v>2</v>
      </c>
      <c r="C18" s="4">
        <v>1</v>
      </c>
      <c r="D18" s="4">
        <v>12</v>
      </c>
      <c r="E18" s="4">
        <v>8.0</v>
      </c>
      <c r="F18" s="4">
        <v>1.0</v>
      </c>
      <c r="G18" s="4">
        <v>3.0</v>
      </c>
      <c r="H18" s="4">
        <v>0.0</v>
      </c>
      <c r="I18" s="4">
        <v>0.0</v>
      </c>
      <c r="K18" s="10" t="s">
        <v>39</v>
      </c>
      <c r="L18" s="10"/>
      <c r="M18" s="27" t="s">
        <v>106</v>
      </c>
      <c r="N18" s="25">
        <v>0</v>
      </c>
      <c r="O18" s="25"/>
      <c r="P18" s="10"/>
      <c r="Q18" s="10"/>
    </row>
    <row r="19" spans="1:19">
      <c r="A19" s="6">
        <v>26</v>
      </c>
      <c r="B19" s="4">
        <v>3</v>
      </c>
      <c r="C19" s="4">
        <v>1</v>
      </c>
      <c r="D19" s="4">
        <v>12</v>
      </c>
      <c r="E19" s="4">
        <v>8.0</v>
      </c>
      <c r="F19" s="4">
        <v>1.0</v>
      </c>
      <c r="G19" s="4">
        <v>3.0</v>
      </c>
      <c r="H19" s="4">
        <v>0.0</v>
      </c>
      <c r="I19" s="4">
        <v>0.0</v>
      </c>
      <c r="K19" s="10" t="s">
        <v>40</v>
      </c>
      <c r="L19" s="10"/>
      <c r="M19" s="27" t="s">
        <v>107</v>
      </c>
      <c r="N19" s="25">
        <v>0</v>
      </c>
      <c r="O19" s="25"/>
      <c r="P19" s="10"/>
      <c r="Q19" s="10"/>
    </row>
    <row r="20" spans="1:19">
      <c r="A20" s="6">
        <v>27</v>
      </c>
      <c r="B20" s="4">
        <v>4</v>
      </c>
      <c r="C20" s="4">
        <v>1</v>
      </c>
      <c r="D20" s="4">
        <v>12</v>
      </c>
      <c r="E20" s="4">
        <v>8.0</v>
      </c>
      <c r="F20" s="4">
        <v>1.0</v>
      </c>
      <c r="G20" s="4">
        <v>3.0</v>
      </c>
      <c r="H20" s="4">
        <v>0.0</v>
      </c>
      <c r="I20" s="4">
        <v>0.0</v>
      </c>
      <c r="K20" s="10" t="s">
        <v>42</v>
      </c>
      <c r="L20" s="10"/>
      <c r="M20" s="25"/>
      <c r="N20" s="25">
        <v>1000000</v>
      </c>
      <c r="O20" s="25"/>
      <c r="P20" s="10"/>
      <c r="Q20" s="10"/>
    </row>
    <row r="21" spans="1:19">
      <c r="A21" s="6">
        <v>28</v>
      </c>
      <c r="B21" s="4">
        <v>5</v>
      </c>
      <c r="C21" s="4">
        <v>1</v>
      </c>
      <c r="D21" s="4">
        <v>12</v>
      </c>
      <c r="E21" s="4">
        <v>8.0</v>
      </c>
      <c r="F21" s="4">
        <v>1.0</v>
      </c>
      <c r="G21" s="4">
        <v>3.0</v>
      </c>
      <c r="H21" s="4">
        <v>0.0</v>
      </c>
      <c r="I21" s="4">
        <v>0.0</v>
      </c>
      <c r="K21" s="10" t="s">
        <v>43</v>
      </c>
      <c r="L21" s="10"/>
      <c r="M21" s="25"/>
      <c r="N21" s="25">
        <v>0</v>
      </c>
      <c r="O21" s="25"/>
      <c r="P21" s="10"/>
      <c r="Q21" s="10"/>
    </row>
    <row r="22" spans="1:19">
      <c r="A22" s="6">
        <v>29</v>
      </c>
      <c r="B22" s="4" t="s">
        <v>25</v>
      </c>
      <c r="C22" s="4">
        <v>0</v>
      </c>
      <c r="D22" s="4">
        <v>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K22" s="13" t="s">
        <v>44</v>
      </c>
      <c r="L22" s="13"/>
      <c r="M22" s="26"/>
      <c r="N22" s="26"/>
      <c r="O22" s="26">
        <v>1000000</v>
      </c>
      <c r="P22" s="10"/>
      <c r="Q22" s="10"/>
    </row>
    <row r="23" spans="1:19">
      <c r="A23" s="6">
        <v>30</v>
      </c>
      <c r="B23" s="4" t="s">
        <v>25</v>
      </c>
      <c r="C23" s="4">
        <v>0</v>
      </c>
      <c r="D23" s="4">
        <v>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K23" s="10"/>
      <c r="L23" s="10"/>
      <c r="M23" s="25"/>
      <c r="N23" s="25"/>
      <c r="O23" s="25"/>
      <c r="P23" s="10"/>
      <c r="Q23" s="10"/>
    </row>
    <row r="24" spans="1:19">
      <c r="A24" s="6">
        <v>1</v>
      </c>
      <c r="B24" s="4" t="s">
        <v>25</v>
      </c>
      <c r="C24" s="4">
        <v>0</v>
      </c>
      <c r="D24" s="4">
        <v>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K24" s="10" t="s">
        <v>45</v>
      </c>
      <c r="L24" s="10"/>
      <c r="M24" s="25"/>
      <c r="N24" s="25">
        <v>69096.45</v>
      </c>
      <c r="O24" s="25"/>
      <c r="P24" s="10"/>
      <c r="Q24" s="10"/>
    </row>
    <row r="25" spans="1:19">
      <c r="A25" s="6">
        <v>2</v>
      </c>
      <c r="B25" s="4">
        <v>1</v>
      </c>
      <c r="C25" s="4">
        <v>1</v>
      </c>
      <c r="D25" s="4">
        <v>12</v>
      </c>
      <c r="E25" s="4">
        <v>8.0</v>
      </c>
      <c r="F25" s="4">
        <v>1.0</v>
      </c>
      <c r="G25" s="4">
        <v>3.0</v>
      </c>
      <c r="H25" s="4">
        <v>0.0</v>
      </c>
      <c r="I25" s="4">
        <v>0.0</v>
      </c>
      <c r="K25" s="10" t="s">
        <v>46</v>
      </c>
      <c r="L25" s="10"/>
      <c r="M25" s="25"/>
      <c r="N25" s="25">
        <v>135483.24</v>
      </c>
      <c r="O25" s="25"/>
      <c r="P25" s="10"/>
      <c r="Q25" s="10"/>
    </row>
    <row r="26" spans="1:19">
      <c r="A26" s="6">
        <v>3</v>
      </c>
      <c r="B26" s="4">
        <v>2</v>
      </c>
      <c r="C26" s="4" t="s">
        <v>98</v>
      </c>
      <c r="D26" s="4">
        <v>12</v>
      </c>
      <c r="E26" s="4">
        <v>0.0</v>
      </c>
      <c r="F26" s="4">
        <v>0.0</v>
      </c>
      <c r="G26" s="4">
        <v>7.0</v>
      </c>
      <c r="H26" s="4">
        <v>1.0</v>
      </c>
      <c r="I26" s="4">
        <v>4.0</v>
      </c>
      <c r="K26" s="10" t="s">
        <v>48</v>
      </c>
      <c r="L26" s="10"/>
      <c r="M26" s="25"/>
      <c r="N26" s="25">
        <v>0.0</v>
      </c>
      <c r="O26" s="25"/>
      <c r="P26" s="10"/>
      <c r="Q26" s="10"/>
    </row>
    <row r="27" spans="1:19">
      <c r="A27" s="6">
        <v>4</v>
      </c>
      <c r="B27" s="4">
        <v>3</v>
      </c>
      <c r="C27" s="4" t="s">
        <v>36</v>
      </c>
      <c r="D27" s="4">
        <v>12</v>
      </c>
      <c r="E27" s="4">
        <v>8.0</v>
      </c>
      <c r="F27" s="4">
        <v>1.0</v>
      </c>
      <c r="G27" s="4">
        <v>3.0</v>
      </c>
      <c r="H27" s="4">
        <v>0.0</v>
      </c>
      <c r="I27" s="4">
        <v>0.0</v>
      </c>
      <c r="K27" s="10" t="s">
        <v>49</v>
      </c>
      <c r="L27" s="10"/>
      <c r="M27" s="25"/>
      <c r="N27" s="25">
        <v>150000</v>
      </c>
      <c r="O27" s="25"/>
      <c r="P27" s="10"/>
      <c r="Q27" s="10"/>
    </row>
    <row r="28" spans="1:19">
      <c r="A28" s="6">
        <v>5</v>
      </c>
      <c r="B28" s="4">
        <v>4</v>
      </c>
      <c r="C28" s="4" t="s">
        <v>36</v>
      </c>
      <c r="D28" s="4">
        <v>12</v>
      </c>
      <c r="E28" s="4">
        <v>8.0</v>
      </c>
      <c r="F28" s="4">
        <v>1.0</v>
      </c>
      <c r="G28" s="4">
        <v>3.0</v>
      </c>
      <c r="H28" s="4">
        <v>0.0</v>
      </c>
      <c r="I28" s="4">
        <v>0.0</v>
      </c>
      <c r="K28" s="10" t="s">
        <v>50</v>
      </c>
      <c r="L28" s="10"/>
      <c r="M28" s="25"/>
      <c r="N28" s="25">
        <v>0</v>
      </c>
      <c r="O28" s="25"/>
      <c r="P28" s="10"/>
      <c r="Q28" s="10"/>
    </row>
    <row r="29" spans="1:19">
      <c r="A29" s="6">
        <v>6</v>
      </c>
      <c r="B29" s="4">
        <v>5</v>
      </c>
      <c r="C29" s="4" t="s">
        <v>36</v>
      </c>
      <c r="D29" s="4">
        <v>12</v>
      </c>
      <c r="E29" s="4">
        <v>8.0</v>
      </c>
      <c r="F29" s="4">
        <v>1.0</v>
      </c>
      <c r="G29" s="4">
        <v>3.0</v>
      </c>
      <c r="H29" s="4">
        <v>0.0</v>
      </c>
      <c r="I29" s="4">
        <v>0.0</v>
      </c>
      <c r="K29" s="13" t="s">
        <v>51</v>
      </c>
      <c r="L29" s="13"/>
      <c r="M29" s="26"/>
      <c r="N29" s="26"/>
      <c r="O29" s="26">
        <v>5792047.37</v>
      </c>
      <c r="P29" s="10"/>
      <c r="Q29" s="10"/>
    </row>
    <row r="30" spans="1:19">
      <c r="A30" s="6">
        <v>7</v>
      </c>
      <c r="B30" s="4" t="s">
        <v>25</v>
      </c>
      <c r="C30" s="4" t="s">
        <v>36</v>
      </c>
      <c r="D30" s="4">
        <v>12</v>
      </c>
      <c r="E30" s="4">
        <v>0.0</v>
      </c>
      <c r="F30" s="4">
        <v>0.0</v>
      </c>
      <c r="G30" s="4">
        <v>8.0</v>
      </c>
      <c r="H30" s="4">
        <v>1.0</v>
      </c>
      <c r="I30" s="4">
        <v>3.0</v>
      </c>
      <c r="K30" s="10"/>
      <c r="L30" s="10"/>
      <c r="M30" s="25"/>
      <c r="N30" s="25"/>
      <c r="O30" s="25"/>
      <c r="P30" s="10"/>
      <c r="Q30" s="10"/>
    </row>
    <row r="31" spans="1:19">
      <c r="A31" s="6">
        <v>8</v>
      </c>
      <c r="B31" s="4" t="s">
        <v>25</v>
      </c>
      <c r="C31" s="4">
        <v>0</v>
      </c>
      <c r="D31" s="4">
        <v>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K31" s="10" t="s">
        <v>52</v>
      </c>
      <c r="L31" s="10"/>
      <c r="M31" s="28" t="s">
        <v>78</v>
      </c>
      <c r="N31" s="28" t="s">
        <v>100</v>
      </c>
      <c r="O31" s="25">
        <f>ROUNDDOWN(-(28960.00),0)</f>
        <v>-28960</v>
      </c>
      <c r="P31" s="10"/>
      <c r="Q31" s="10"/>
    </row>
    <row r="32" spans="1:19">
      <c r="A32" s="6">
        <v>9</v>
      </c>
      <c r="B32" s="4" t="s">
        <v>25</v>
      </c>
      <c r="C32" s="4">
        <v>0</v>
      </c>
      <c r="D32" s="4">
        <v>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K32" s="10" t="s">
        <v>45</v>
      </c>
      <c r="L32" s="10"/>
      <c r="M32" s="25"/>
      <c r="N32" s="25"/>
      <c r="O32" s="25">
        <v>-69096.45</v>
      </c>
      <c r="P32" s="10"/>
      <c r="Q32" s="10"/>
    </row>
    <row r="33" spans="1:19">
      <c r="A33" s="6">
        <v>10</v>
      </c>
      <c r="B33" s="4" t="s">
        <v>25</v>
      </c>
      <c r="C33" s="4">
        <v>0</v>
      </c>
      <c r="D33" s="4">
        <v>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K33" s="10" t="s">
        <v>55</v>
      </c>
      <c r="L33" s="10"/>
      <c r="M33" s="25"/>
      <c r="N33" s="25"/>
      <c r="O33" s="25">
        <v>-67741.62</v>
      </c>
      <c r="P33" s="10"/>
      <c r="Q33" s="10"/>
    </row>
    <row r="34" spans="1:19">
      <c r="A34" s="6">
        <v>11</v>
      </c>
      <c r="B34" s="4" t="s">
        <v>25</v>
      </c>
      <c r="C34" s="4">
        <v>0</v>
      </c>
      <c r="D34" s="4">
        <v>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K34" s="10" t="s">
        <v>56</v>
      </c>
      <c r="L34" s="10"/>
      <c r="M34" s="25"/>
      <c r="N34" s="25"/>
      <c r="O34" s="25">
        <v>-33870.81</v>
      </c>
      <c r="P34" s="10"/>
      <c r="Q34" s="10"/>
    </row>
    <row r="35" spans="1:19">
      <c r="A35" s="6">
        <v>12</v>
      </c>
      <c r="B35" s="4" t="s">
        <v>25</v>
      </c>
      <c r="C35" s="4">
        <v>0</v>
      </c>
      <c r="D35" s="4">
        <v>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K35" s="10" t="s">
        <v>46</v>
      </c>
      <c r="L35" s="10"/>
      <c r="M35" s="25"/>
      <c r="N35" s="25"/>
      <c r="O35" s="25">
        <v>-135483.24</v>
      </c>
      <c r="P35" s="10"/>
      <c r="Q35" s="10"/>
    </row>
    <row r="36" spans="1:19">
      <c r="A36" s="6">
        <v>13</v>
      </c>
      <c r="B36" s="4" t="s">
        <v>25</v>
      </c>
      <c r="C36" s="4">
        <v>0</v>
      </c>
      <c r="D36" s="4">
        <v>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K36" s="10" t="s">
        <v>57</v>
      </c>
      <c r="L36" s="10"/>
      <c r="M36" s="25"/>
      <c r="N36" s="25"/>
      <c r="O36" s="25">
        <v>-33870.81</v>
      </c>
      <c r="P36" s="10"/>
      <c r="Q36" s="10"/>
    </row>
    <row r="37" spans="1:19">
      <c r="A37" s="6">
        <v>14</v>
      </c>
      <c r="B37" s="4" t="s">
        <v>25</v>
      </c>
      <c r="C37" s="4">
        <v>0</v>
      </c>
      <c r="D37" s="4">
        <v>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K37" s="13" t="s">
        <v>58</v>
      </c>
      <c r="L37" s="13"/>
      <c r="M37" s="26"/>
      <c r="N37" s="26"/>
      <c r="O37" s="26">
        <v>5423024.0</v>
      </c>
      <c r="P37" s="10"/>
      <c r="Q37" s="10"/>
    </row>
    <row r="38" spans="1:19">
      <c r="A38" s="6">
        <v>15</v>
      </c>
      <c r="B38" s="4" t="s">
        <v>25</v>
      </c>
      <c r="C38" s="4">
        <v>0</v>
      </c>
      <c r="D38" s="4">
        <v>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K38" s="10"/>
      <c r="L38" s="10"/>
      <c r="M38" s="25"/>
      <c r="N38" s="25"/>
      <c r="O38" s="25"/>
      <c r="P38" s="10"/>
      <c r="Q38" s="10"/>
    </row>
    <row r="39" spans="1:19">
      <c r="A39" s="7" t="s">
        <v>59</v>
      </c>
      <c r="B39" s="8"/>
      <c r="C39" s="9">
        <v>11</v>
      </c>
      <c r="D39" s="9">
        <v>132</v>
      </c>
      <c r="E39" s="9">
        <v>72.0</v>
      </c>
      <c r="F39" s="9">
        <v>9.0</v>
      </c>
      <c r="G39" s="9">
        <v>42.0</v>
      </c>
      <c r="H39" s="9">
        <v>2.0</v>
      </c>
      <c r="I39" s="9">
        <v>7.0</v>
      </c>
      <c r="K39" s="10" t="s">
        <v>43</v>
      </c>
      <c r="L39" s="10"/>
      <c r="M39" s="25"/>
      <c r="N39" s="25"/>
      <c r="O39" s="25">
        <v>0</v>
      </c>
      <c r="P39" s="10"/>
      <c r="Q39" s="10"/>
    </row>
    <row r="40" spans="1:19">
      <c r="A40" s="7" t="s">
        <v>60</v>
      </c>
      <c r="B40" s="8"/>
      <c r="C40" s="9">
        <v>60.0</v>
      </c>
      <c r="D40" s="9"/>
      <c r="E40" s="9"/>
      <c r="F40" s="9"/>
      <c r="G40" s="9"/>
      <c r="H40" s="9"/>
      <c r="I40" s="9"/>
      <c r="K40" s="10" t="s">
        <v>61</v>
      </c>
      <c r="L40" s="10"/>
      <c r="M40" s="25"/>
      <c r="N40" s="25"/>
      <c r="O40" s="25">
        <v>0</v>
      </c>
      <c r="P40" s="10"/>
      <c r="Q40" s="10"/>
    </row>
    <row r="41" spans="1:19">
      <c r="K41" s="10" t="s">
        <v>62</v>
      </c>
      <c r="L41" s="10"/>
      <c r="M41" s="25"/>
      <c r="N41" s="25"/>
      <c r="O41" s="25">
        <v>0</v>
      </c>
      <c r="P41" s="10"/>
      <c r="Q41" s="10"/>
    </row>
    <row r="42" spans="1:19">
      <c r="K42" s="10"/>
      <c r="L42" s="10"/>
      <c r="M42" s="25"/>
      <c r="N42" s="25"/>
      <c r="O42" s="25"/>
      <c r="P42" s="10"/>
      <c r="Q42" s="10"/>
    </row>
    <row r="43" spans="1:19">
      <c r="K43" s="13"/>
      <c r="L43" s="13"/>
      <c r="M43" s="26"/>
      <c r="N43" s="26"/>
      <c r="O43" s="26"/>
      <c r="P43" s="10"/>
      <c r="Q43" s="10"/>
    </row>
    <row r="44" spans="1:19">
      <c r="K44" s="10" t="s">
        <v>63</v>
      </c>
      <c r="L44" s="10"/>
      <c r="M44" s="25"/>
      <c r="N44" s="25"/>
      <c r="O44" s="25">
        <v>-24</v>
      </c>
    </row>
    <row r="45" spans="1:19">
      <c r="A45" s="14"/>
      <c r="B45" s="17"/>
      <c r="C45" s="17"/>
      <c r="D45" s="17"/>
      <c r="E45" s="17"/>
      <c r="F45" s="17"/>
      <c r="G45" s="17"/>
      <c r="H45" s="17"/>
      <c r="I45" s="20"/>
      <c r="K45" s="13" t="s">
        <v>64</v>
      </c>
      <c r="L45" s="13"/>
      <c r="M45" s="26"/>
      <c r="N45" s="26"/>
      <c r="O45" s="26">
        <v>5423000.0</v>
      </c>
    </row>
    <row r="46" spans="1:19">
      <c r="A46" s="15" t="s">
        <v>65</v>
      </c>
      <c r="B46" s="18"/>
      <c r="C46" s="18"/>
      <c r="D46" s="18"/>
      <c r="E46" s="18"/>
      <c r="F46" s="18"/>
      <c r="G46" s="18"/>
      <c r="H46" s="18"/>
      <c r="I46" s="21"/>
      <c r="M46" s="29"/>
      <c r="N46" s="29"/>
      <c r="O46" s="29"/>
    </row>
    <row r="47" spans="1:19">
      <c r="A47" s="15"/>
      <c r="B47" s="18"/>
      <c r="C47" s="18"/>
      <c r="D47" s="18"/>
      <c r="E47" s="18"/>
      <c r="F47" s="18"/>
      <c r="G47" s="18"/>
      <c r="H47" s="18"/>
      <c r="I47" s="21"/>
      <c r="M47" s="29"/>
      <c r="N47" s="29"/>
      <c r="O47" s="29"/>
    </row>
    <row r="48" spans="1:19">
      <c r="A48" s="15"/>
      <c r="B48" s="18"/>
      <c r="C48" s="18"/>
      <c r="D48" s="18"/>
      <c r="E48" s="18"/>
      <c r="F48" s="18"/>
      <c r="G48" s="18"/>
      <c r="H48" s="18"/>
      <c r="I48" s="21"/>
      <c r="M48" s="29"/>
      <c r="N48" s="29"/>
      <c r="O48" s="29"/>
    </row>
    <row r="49" spans="1:19">
      <c r="A49" s="15" t="s">
        <v>66</v>
      </c>
      <c r="B49" s="18"/>
      <c r="C49" s="18"/>
      <c r="D49" s="18"/>
      <c r="E49" s="18"/>
      <c r="F49" s="18"/>
      <c r="G49" s="18"/>
      <c r="H49" s="18"/>
      <c r="I49" s="21"/>
      <c r="M49" s="29"/>
      <c r="N49" s="29"/>
      <c r="O49" s="29"/>
    </row>
    <row r="50" spans="1:19">
      <c r="A50" s="15"/>
      <c r="B50" s="18"/>
      <c r="C50" s="18"/>
      <c r="D50" s="18"/>
      <c r="E50" s="18"/>
      <c r="F50" s="18"/>
      <c r="G50" s="18"/>
      <c r="H50" s="18"/>
      <c r="I50" s="21"/>
      <c r="M50" s="29"/>
      <c r="N50" s="29"/>
      <c r="O50" s="29"/>
    </row>
    <row r="51" spans="1:19">
      <c r="A51" s="15"/>
      <c r="B51" s="18"/>
      <c r="C51" s="18"/>
      <c r="D51" s="18"/>
      <c r="E51" s="18"/>
      <c r="F51" s="18"/>
      <c r="G51" s="18"/>
      <c r="H51" s="18"/>
      <c r="I51" s="21"/>
      <c r="M51" s="29"/>
      <c r="N51" s="29"/>
      <c r="O51" s="29"/>
    </row>
    <row r="52" spans="1:19">
      <c r="A52" s="15"/>
      <c r="B52" s="18"/>
      <c r="C52" s="18"/>
      <c r="D52" s="18"/>
      <c r="E52" s="18"/>
      <c r="F52" s="18"/>
      <c r="G52" s="18"/>
      <c r="H52" s="18"/>
      <c r="I52" s="21"/>
      <c r="M52" s="29"/>
      <c r="N52" s="29"/>
      <c r="O52" s="29"/>
    </row>
    <row r="53" spans="1:19">
      <c r="A53" s="15" t="s">
        <v>67</v>
      </c>
      <c r="B53" s="18"/>
      <c r="C53" s="18"/>
      <c r="D53" s="18"/>
      <c r="E53" s="18"/>
      <c r="F53" s="18"/>
      <c r="G53" s="18"/>
      <c r="H53" s="18"/>
      <c r="I53" s="21"/>
      <c r="M53" s="29"/>
      <c r="N53" s="29"/>
      <c r="O53" s="29"/>
    </row>
    <row r="54" spans="1:19">
      <c r="A54" s="15"/>
      <c r="B54" s="18"/>
      <c r="C54" s="18"/>
      <c r="D54" s="18"/>
      <c r="E54" s="18"/>
      <c r="F54" s="18"/>
      <c r="G54" s="18"/>
      <c r="H54" s="18"/>
      <c r="I54" s="21"/>
      <c r="M54" s="29"/>
      <c r="N54" s="29"/>
      <c r="O54" s="29"/>
    </row>
    <row r="55" spans="1:19">
      <c r="A55" s="15"/>
      <c r="B55" s="18"/>
      <c r="C55" s="18"/>
      <c r="D55" s="18"/>
      <c r="E55" s="18"/>
      <c r="F55" s="18"/>
      <c r="G55" s="18"/>
      <c r="H55" s="18"/>
      <c r="I55" s="21"/>
      <c r="M55" s="29"/>
      <c r="N55" s="29"/>
      <c r="O55" s="29"/>
    </row>
    <row r="56" spans="1:19">
      <c r="A56" s="15"/>
      <c r="B56" s="18"/>
      <c r="C56" s="18"/>
      <c r="D56" s="18"/>
      <c r="E56" s="18"/>
      <c r="F56" s="18"/>
      <c r="G56" s="18"/>
      <c r="H56" s="18"/>
      <c r="I56" s="21"/>
      <c r="M56" s="29"/>
      <c r="N56" s="29"/>
      <c r="O56" s="29"/>
    </row>
    <row r="57" spans="1:19">
      <c r="A57" s="15" t="s">
        <v>102</v>
      </c>
      <c r="B57" s="18"/>
      <c r="C57" s="18"/>
      <c r="D57" s="18"/>
      <c r="E57" s="18"/>
      <c r="F57" s="18"/>
      <c r="G57" s="18"/>
      <c r="H57" s="18"/>
      <c r="I57" s="21"/>
      <c r="M57" s="29"/>
      <c r="N57" s="29"/>
      <c r="O57" s="29"/>
    </row>
    <row r="58" spans="1:19">
      <c r="A58" s="15"/>
      <c r="B58" s="18"/>
      <c r="C58" s="18"/>
      <c r="D58" s="18"/>
      <c r="E58" s="18"/>
      <c r="F58" s="18"/>
      <c r="G58" s="18"/>
      <c r="H58" s="18"/>
      <c r="I58" s="21"/>
      <c r="M58" s="29"/>
      <c r="N58" s="29"/>
      <c r="O58" s="29"/>
    </row>
    <row r="59" spans="1:19">
      <c r="A59" s="15"/>
      <c r="B59" s="18"/>
      <c r="C59" s="18"/>
      <c r="D59" s="18"/>
      <c r="E59" s="18"/>
      <c r="F59" s="18"/>
      <c r="G59" s="18"/>
      <c r="H59" s="18"/>
      <c r="I59" s="21"/>
      <c r="M59" s="29"/>
      <c r="N59" s="29"/>
      <c r="O59" s="29"/>
    </row>
    <row r="60" spans="1:19">
      <c r="A60" s="15"/>
      <c r="B60" s="18"/>
      <c r="C60" s="18"/>
      <c r="D60" s="18"/>
      <c r="E60" s="18"/>
      <c r="F60" s="18"/>
      <c r="G60" s="18"/>
      <c r="H60" s="18"/>
      <c r="I60" s="21"/>
      <c r="M60" s="29"/>
      <c r="N60" s="29"/>
      <c r="O60" s="29"/>
    </row>
    <row r="61" spans="1:19">
      <c r="A61" s="15" t="s">
        <v>108</v>
      </c>
      <c r="B61" s="18"/>
      <c r="C61" s="18"/>
      <c r="D61" s="18"/>
      <c r="E61" s="18"/>
      <c r="F61" s="18"/>
      <c r="G61" s="18"/>
      <c r="H61" s="18"/>
      <c r="I61" s="21"/>
      <c r="M61" s="29"/>
      <c r="N61" s="29"/>
      <c r="O61" s="29"/>
    </row>
    <row r="62" spans="1:19">
      <c r="A62" s="15"/>
      <c r="B62" s="18"/>
      <c r="C62" s="18"/>
      <c r="D62" s="18"/>
      <c r="E62" s="18"/>
      <c r="F62" s="18"/>
      <c r="G62" s="18"/>
      <c r="H62" s="18"/>
      <c r="I62" s="21"/>
      <c r="M62" s="29"/>
      <c r="N62" s="29"/>
      <c r="O62" s="29"/>
    </row>
    <row r="63" spans="1:19">
      <c r="A63" s="16"/>
      <c r="B63" s="19"/>
      <c r="C63" s="19"/>
      <c r="D63" s="19"/>
      <c r="E63" s="19"/>
      <c r="F63" s="19"/>
      <c r="G63" s="19"/>
      <c r="H63" s="19"/>
      <c r="I63" s="22"/>
      <c r="M63" s="29"/>
      <c r="N63" s="29"/>
      <c r="O63" s="29"/>
    </row>
    <row r="64" spans="1:19">
      <c r="M64" s="29"/>
      <c r="N64" s="29"/>
      <c r="O64" s="29"/>
    </row>
    <row r="65" spans="1:19">
      <c r="M65" s="29"/>
      <c r="N65" s="29"/>
      <c r="O65" s="29"/>
    </row>
    <row r="66" spans="1:19">
      <c r="M66" s="29"/>
      <c r="N66" s="29"/>
      <c r="O66" s="29"/>
    </row>
    <row r="67" spans="1:19">
      <c r="M67" s="29"/>
      <c r="N67" s="29"/>
      <c r="O67" s="29"/>
    </row>
    <row r="68" spans="1:19">
      <c r="M68" s="29"/>
      <c r="N68" s="29"/>
      <c r="O68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I6"/>
    <mergeCell ref="C40:I40"/>
    <mergeCell ref="A46:I46"/>
    <mergeCell ref="A49:I49"/>
    <mergeCell ref="A53:I53"/>
    <mergeCell ref="A57:I57"/>
    <mergeCell ref="A61:I6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Amin Siregar</vt:lpstr>
      <vt:lpstr>Heri Hamjah</vt:lpstr>
      <vt:lpstr>Marwan Efendi</vt:lpstr>
      <vt:lpstr>Saedar Mulia Lubis</vt:lpstr>
      <vt:lpstr>Saut Halomoan Rambe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- Web - Android</dc:creator>
  <cp:lastModifiedBy>Maurice - Web - Android</cp:lastModifiedBy>
  <dcterms:created xsi:type="dcterms:W3CDTF">2025-12-01T09:55:25+07:00</dcterms:created>
  <dcterms:modified xsi:type="dcterms:W3CDTF">2025-12-01T09:55:25+07:00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