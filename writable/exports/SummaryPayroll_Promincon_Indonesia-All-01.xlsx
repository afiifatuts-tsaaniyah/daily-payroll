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Excel 27-01-2026 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<sst xmlns="http://schemas.openxmlformats.org/spreadsheetml/2006/main" uniqueCount="95">
  <si>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PT. SANGATI SOERYA SEJAHTERA</t>
  </si>
  <si>
    <t>SUMMARY PAYROLL PT. Promincon Indonesia (All)</t>
  </si>
  <si>
    <t>Periode : 01-2026</t>
  </si>
  <si>
    <t>NO</t>
  </si>
  <si>
    <t>YEAR</t>
  </si>
  <si>
    <t>MONTH</t>
  </si>
  <si>
    <t>DEPARTEMENT</t>
  </si>
  <si>
    <t>INTERNAL ID</t>
  </si>
  <si>
    <t>NAMA</t>
  </si>
  <si>
    <t>GENDER</t>
  </si>
  <si>
    <t>MARITAL STATUS</t>
  </si>
  <si>
    <t>NPWP</t>
  </si>
  <si>
    <t>NIK</t>
  </si>
  <si>
    <t>POSITION</t>
  </si>
  <si>
    <t>ADDRESS</t>
  </si>
  <si>
    <t>BASIC SALARY</t>
  </si>
  <si>
    <t>OT 1</t>
  </si>
  <si>
    <t>OT 2</t>
  </si>
  <si>
    <t>OT 3</t>
  </si>
  <si>
    <t>OT 4</t>
  </si>
  <si>
    <t>REGULER INCOME</t>
  </si>
  <si>
    <t>NON REGULER INCOME</t>
  </si>
  <si>
    <t>JKK &amp; JKM</t>
  </si>
  <si>
    <t>HEALTH BPJS</t>
  </si>
  <si>
    <t>UNPAID TOTAL</t>
  </si>
  <si>
    <t>ADJUSTMENT IN</t>
  </si>
  <si>
    <t>ADJUSTMENT OUT</t>
  </si>
  <si>
    <t>GROSS</t>
  </si>
  <si>
    <t>GOLONGAN</t>
  </si>
  <si>
    <t>PERSENTASE</t>
  </si>
  <si>
    <t>TAX PPH21</t>
  </si>
  <si>
    <t>EMP JHT</t>
  </si>
  <si>
    <t>EMP HEALTH BPJS</t>
  </si>
  <si>
    <t>EMP JP</t>
  </si>
  <si>
    <t>THR</t>
  </si>
  <si>
    <t>CONTRACT BONUS</t>
  </si>
  <si>
    <t>ADJUSTMENT</t>
  </si>
  <si>
    <t>DEBT BURDEN</t>
  </si>
  <si>
    <t>PAYMENT</t>
  </si>
  <si>
    <t>ROUNDED</t>
  </si>
  <si>
    <t>NET PAYMENT</t>
  </si>
  <si>
    <t>SALARY</t>
  </si>
  <si>
    <t>OVERTIME TOTAL</t>
  </si>
  <si>
    <t>ATTENDANCE BONUS</t>
  </si>
  <si>
    <t>NIGHT SHIFT</t>
  </si>
  <si>
    <t>TRANSPORT</t>
  </si>
  <si>
    <t>TUNJANGAN</t>
  </si>
  <si>
    <t>OTHER ALLOWANCE</t>
  </si>
  <si>
    <t>01</t>
  </si>
  <si>
    <t>Ahmad Juandi Nasution</t>
  </si>
  <si>
    <t>Male</t>
  </si>
  <si>
    <t>TK/0</t>
  </si>
  <si>
    <t>1203020103000001</t>
  </si>
  <si>
    <t>Drilling Crew 703</t>
  </si>
  <si>
    <t>Wek IV</t>
  </si>
  <si>
    <t>A</t>
  </si>
  <si>
    <t>Amoi Sani Samosir</t>
  </si>
  <si>
    <t>Female</t>
  </si>
  <si>
    <t>1201085205000003</t>
  </si>
  <si>
    <t>Cleaning Service</t>
  </si>
  <si>
    <t>Hapesong Baru</t>
  </si>
  <si>
    <t>Dedi Santo Zebua</t>
  </si>
  <si>
    <t>K/3</t>
  </si>
  <si>
    <t>1203022412920002</t>
  </si>
  <si>
    <t>Drilling Crew 734</t>
  </si>
  <si>
    <t>Napa</t>
  </si>
  <si>
    <t>C</t>
  </si>
  <si>
    <t>Doli Saputra Batubara</t>
  </si>
  <si>
    <t>K/1</t>
  </si>
  <si>
    <t>1203021611940003</t>
  </si>
  <si>
    <t>Assistant Mechanic</t>
  </si>
  <si>
    <t>Padangsidimpuan</t>
  </si>
  <si>
    <t>B</t>
  </si>
  <si>
    <t>Erdianto</t>
  </si>
  <si>
    <t>1203020610910004</t>
  </si>
  <si>
    <t>Security</t>
  </si>
  <si>
    <t>Aek Pining</t>
  </si>
  <si>
    <t>Fauzi Hamonangan Sibuea</t>
  </si>
  <si>
    <t>1203022604850002</t>
  </si>
  <si>
    <t>Wek II</t>
  </si>
  <si>
    <t>Khoirul Anwar Siregar</t>
  </si>
  <si>
    <t>1203020703010002</t>
  </si>
  <si>
    <t>Sumuran</t>
  </si>
  <si>
    <t>Ridoan Siregar</t>
  </si>
  <si>
    <t>1203020711890006</t>
  </si>
  <si>
    <t>Telo</t>
  </si>
  <si>
    <t>Ronaldo Simamora</t>
  </si>
  <si>
    <t>K/0</t>
  </si>
  <si>
    <t>1502021702010002</t>
  </si>
  <si>
    <t>Crew Loading Point</t>
  </si>
  <si>
    <t>Suparmin</t>
  </si>
  <si>
    <t>1203020603850006</t>
  </si>
  <si>
    <t>Masinis</t>
  </si>
  <si>
    <t>Zainal Arifin Hasibuan</t>
  </si>
  <si>
    <t>1203020607890007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</si>
</sst>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  <fill>
      <patternFill patternType="solid">
        <fgColor rgb="FFEAEBA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49" fillId="3" borderId="1" applyFont="0" applyNumberFormat="1" applyFill="1" applyBorder="1" applyAlignment="0">
      <alignment horizontal="general" vertical="bottom" textRotation="0" wrapText="false" shrinkToFit="false"/>
    </xf>
    <xf xfId="0" fontId="0" numFmtId="4" fillId="0" borderId="1" applyFont="0" applyNumberFormat="1" applyFill="0" applyBorder="1" applyAlignment="0">
      <alignment horizontal="general" vertical="bottom" textRotation="0" wrapText="false" shrinkToFit="false"/>
    </xf>
    <xf xfId="0" fontId="0" numFmtId="4" fillId="3" borderId="1" applyFont="0" applyNumberFormat="1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10" fillId="3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8"/>
  <sheetViews>
    <sheetView tabSelected="1" workbookViewId="0" showGridLines="true" showRowColHeaders="1">
      <selection activeCell="A6" sqref="A6:AT18"/>
    </sheetView>
  </sheetViews>
  <sheetFormatPr defaultRowHeight="14.4" outlineLevelRow="0" outlineLevelCol="0"/>
  <cols>
    <col min="46" max="46" width="15" bestFit="true" customWidth="true" style="0"/>
  </cols>
  <sheetData>
    <row r="1" spans="1:46">
      <c r="A1" s="1" t="s">
        <v>0</v>
      </c>
      <c r="B1" s="1"/>
      <c r="C1" s="1"/>
      <c r="D1" s="1"/>
    </row>
    <row r="2" spans="1:46">
      <c r="A2" s="2" t="s">
        <v>1</v>
      </c>
      <c r="B2" s="2"/>
      <c r="C2" s="2"/>
      <c r="D2" s="2"/>
    </row>
    <row r="4" spans="1:46">
      <c r="A4" s="3" t="s">
        <v>2</v>
      </c>
      <c r="B4" s="3"/>
      <c r="C4" s="3"/>
      <c r="D4" s="3"/>
      <c r="E4" s="3"/>
      <c r="F4" s="3"/>
      <c r="G4" s="3"/>
    </row>
    <row r="6" spans="1:4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/>
      <c r="T6" s="4"/>
      <c r="U6" s="4"/>
      <c r="V6" s="4"/>
      <c r="W6" s="4" t="s">
        <v>21</v>
      </c>
      <c r="X6" s="4"/>
      <c r="Y6" s="4"/>
      <c r="Z6" s="4" t="s">
        <v>22</v>
      </c>
      <c r="AA6" s="4" t="s">
        <v>23</v>
      </c>
      <c r="AB6" s="4" t="s">
        <v>24</v>
      </c>
      <c r="AC6" s="4" t="s">
        <v>25</v>
      </c>
      <c r="AD6" s="4" t="s">
        <v>26</v>
      </c>
      <c r="AE6" s="4" t="s">
        <v>27</v>
      </c>
      <c r="AF6" s="4" t="s">
        <v>28</v>
      </c>
      <c r="AG6" s="4" t="s">
        <v>29</v>
      </c>
      <c r="AH6" s="4" t="s">
        <v>30</v>
      </c>
      <c r="AI6" s="4" t="s">
        <v>22</v>
      </c>
      <c r="AJ6" s="4" t="s">
        <v>31</v>
      </c>
      <c r="AK6" s="4" t="s">
        <v>23</v>
      </c>
      <c r="AL6" s="4" t="s">
        <v>32</v>
      </c>
      <c r="AM6" s="4" t="s">
        <v>33</v>
      </c>
      <c r="AN6" s="4" t="s">
        <v>34</v>
      </c>
      <c r="AO6" s="4" t="s">
        <v>35</v>
      </c>
      <c r="AP6" s="4" t="s">
        <v>36</v>
      </c>
      <c r="AQ6" s="4" t="s">
        <v>37</v>
      </c>
      <c r="AR6" s="4" t="s">
        <v>38</v>
      </c>
      <c r="AS6" s="4" t="s">
        <v>39</v>
      </c>
      <c r="AT6" s="4" t="s">
        <v>40</v>
      </c>
    </row>
    <row r="7" spans="1:4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34</v>
      </c>
      <c r="X7" s="4" t="s">
        <v>46</v>
      </c>
      <c r="Y7" s="4" t="s">
        <v>47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>
      <c r="A8" s="5">
        <v>1</v>
      </c>
      <c r="B8" s="5">
        <v>2026</v>
      </c>
      <c r="C8" s="5" t="s">
        <v>48</v>
      </c>
      <c r="D8" s="5"/>
      <c r="E8" s="5">
        <v>251100049</v>
      </c>
      <c r="F8" s="5" t="s">
        <v>49</v>
      </c>
      <c r="G8" s="5" t="s">
        <v>50</v>
      </c>
      <c r="H8" s="5" t="s">
        <v>51</v>
      </c>
      <c r="I8" s="5" t="s">
        <v>52</v>
      </c>
      <c r="J8" s="7" t="s">
        <v>52</v>
      </c>
      <c r="K8" s="5" t="s">
        <v>53</v>
      </c>
      <c r="L8" s="9" t="s">
        <v>54</v>
      </c>
      <c r="M8" s="9">
        <v>3723350.0</v>
      </c>
      <c r="N8" s="9">
        <v>0.0</v>
      </c>
      <c r="O8" s="9">
        <v>0.0</v>
      </c>
      <c r="P8" s="9">
        <v>0.0</v>
      </c>
      <c r="Q8" s="9">
        <v>0.0</v>
      </c>
      <c r="R8" s="9">
        <v>338708.1</v>
      </c>
      <c r="S8" s="9">
        <v>0.0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0.0</v>
      </c>
      <c r="AA8" s="9">
        <v>148934.0</v>
      </c>
      <c r="AB8" s="9">
        <v>0.0</v>
      </c>
      <c r="AC8" s="9">
        <v>0</v>
      </c>
      <c r="AD8" s="9">
        <v>0</v>
      </c>
      <c r="AE8" s="9">
        <v>487642.1</v>
      </c>
      <c r="AF8" s="9" t="s">
        <v>55</v>
      </c>
      <c r="AG8" s="11">
        <v>0.0</v>
      </c>
      <c r="AH8" s="9">
        <v>0.0</v>
      </c>
      <c r="AI8" s="9">
        <v>0.0</v>
      </c>
      <c r="AJ8" s="9">
        <v>-74467.0</v>
      </c>
      <c r="AK8" s="9">
        <v>-148934.0</v>
      </c>
      <c r="AL8" s="9">
        <v>-37233.5</v>
      </c>
      <c r="AM8" s="9">
        <v>0.0</v>
      </c>
      <c r="AN8" s="9">
        <v>0</v>
      </c>
      <c r="AO8" s="9">
        <v>0</v>
      </c>
      <c r="AP8" s="9">
        <v>0</v>
      </c>
      <c r="AQ8" s="9">
        <v>0</v>
      </c>
      <c r="AR8" s="9">
        <f>SUM(AE8,AH8:AQ8)</f>
        <v>227007.6</v>
      </c>
      <c r="AS8" s="9">
        <v>-7.6</v>
      </c>
      <c r="AT8" s="9">
        <f>SUM(AR8:AS8)</f>
        <v>227000</v>
      </c>
    </row>
    <row r="9" spans="1:46">
      <c r="A9" s="6">
        <v>2</v>
      </c>
      <c r="B9" s="6">
        <v>2026</v>
      </c>
      <c r="C9" s="6" t="s">
        <v>48</v>
      </c>
      <c r="D9" s="6"/>
      <c r="E9" s="6">
        <v>251100033</v>
      </c>
      <c r="F9" s="6" t="s">
        <v>56</v>
      </c>
      <c r="G9" s="6" t="s">
        <v>57</v>
      </c>
      <c r="H9" s="6" t="s">
        <v>51</v>
      </c>
      <c r="I9" s="6" t="s">
        <v>58</v>
      </c>
      <c r="J9" s="8" t="s">
        <v>58</v>
      </c>
      <c r="K9" s="6" t="s">
        <v>59</v>
      </c>
      <c r="L9" s="10" t="s">
        <v>60</v>
      </c>
      <c r="M9" s="10">
        <v>3723350.0</v>
      </c>
      <c r="N9" s="10">
        <v>3.0</v>
      </c>
      <c r="O9" s="10">
        <v>0.0</v>
      </c>
      <c r="P9" s="10">
        <v>0.0</v>
      </c>
      <c r="Q9" s="10">
        <v>0.0</v>
      </c>
      <c r="R9" s="10">
        <v>508062.15</v>
      </c>
      <c r="S9" s="10">
        <v>96850.14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0.0</v>
      </c>
      <c r="AA9" s="10">
        <v>148934.0</v>
      </c>
      <c r="AB9" s="10">
        <v>0.0</v>
      </c>
      <c r="AC9" s="10">
        <v>0</v>
      </c>
      <c r="AD9" s="10">
        <v>0</v>
      </c>
      <c r="AE9" s="10">
        <v>656996.15</v>
      </c>
      <c r="AF9" s="10" t="s">
        <v>55</v>
      </c>
      <c r="AG9" s="12">
        <v>0.0</v>
      </c>
      <c r="AH9" s="10">
        <v>0.0</v>
      </c>
      <c r="AI9" s="10">
        <v>0.0</v>
      </c>
      <c r="AJ9" s="10">
        <v>-74467.0</v>
      </c>
      <c r="AK9" s="10">
        <v>-148934.0</v>
      </c>
      <c r="AL9" s="10">
        <v>-37233.5</v>
      </c>
      <c r="AM9" s="10">
        <v>0.0</v>
      </c>
      <c r="AN9" s="10">
        <v>0</v>
      </c>
      <c r="AO9" s="10">
        <v>0</v>
      </c>
      <c r="AP9" s="10">
        <v>0</v>
      </c>
      <c r="AQ9" s="10">
        <v>0</v>
      </c>
      <c r="AR9" s="10">
        <f>SUM(AE9,AH9:AQ9)</f>
        <v>396361.65</v>
      </c>
      <c r="AS9" s="10">
        <v>38.35</v>
      </c>
      <c r="AT9" s="10">
        <f>SUM(AR9:AS9)</f>
        <v>396400</v>
      </c>
    </row>
    <row r="10" spans="1:46">
      <c r="A10" s="5">
        <v>3</v>
      </c>
      <c r="B10" s="5">
        <v>2026</v>
      </c>
      <c r="C10" s="5" t="s">
        <v>48</v>
      </c>
      <c r="D10" s="5"/>
      <c r="E10" s="5">
        <v>251100088</v>
      </c>
      <c r="F10" s="5" t="s">
        <v>61</v>
      </c>
      <c r="G10" s="5" t="s">
        <v>50</v>
      </c>
      <c r="H10" s="5" t="s">
        <v>62</v>
      </c>
      <c r="I10" s="5" t="s">
        <v>63</v>
      </c>
      <c r="J10" s="7" t="s">
        <v>63</v>
      </c>
      <c r="K10" s="5" t="s">
        <v>64</v>
      </c>
      <c r="L10" s="9" t="s">
        <v>65</v>
      </c>
      <c r="M10" s="9">
        <v>3723350.0</v>
      </c>
      <c r="N10" s="9">
        <v>0.0</v>
      </c>
      <c r="O10" s="9">
        <v>0.0</v>
      </c>
      <c r="P10" s="9">
        <v>0.0</v>
      </c>
      <c r="Q10" s="9">
        <v>0.0</v>
      </c>
      <c r="R10" s="9">
        <v>338708.1</v>
      </c>
      <c r="S10" s="9">
        <v>0.0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75956.34</v>
      </c>
      <c r="AA10" s="9">
        <v>148934.0</v>
      </c>
      <c r="AB10" s="9">
        <v>0.0</v>
      </c>
      <c r="AC10" s="9">
        <v>0</v>
      </c>
      <c r="AD10" s="9">
        <v>0</v>
      </c>
      <c r="AE10" s="9">
        <v>563598.44</v>
      </c>
      <c r="AF10" s="9" t="s">
        <v>66</v>
      </c>
      <c r="AG10" s="11">
        <v>0.0</v>
      </c>
      <c r="AH10" s="9">
        <v>0.0</v>
      </c>
      <c r="AI10" s="9">
        <v>-75956.34</v>
      </c>
      <c r="AJ10" s="9">
        <v>-74467.0</v>
      </c>
      <c r="AK10" s="9">
        <v>-148934.0</v>
      </c>
      <c r="AL10" s="9">
        <v>-37233.5</v>
      </c>
      <c r="AM10" s="9">
        <v>-37233.5</v>
      </c>
      <c r="AN10" s="9">
        <v>0</v>
      </c>
      <c r="AO10" s="9">
        <v>0</v>
      </c>
      <c r="AP10" s="9">
        <v>0</v>
      </c>
      <c r="AQ10" s="9">
        <v>0</v>
      </c>
      <c r="AR10" s="9">
        <f>SUM(AE10,AH10:AQ10)</f>
        <v>189774.1</v>
      </c>
      <c r="AS10" s="9">
        <v>25.9</v>
      </c>
      <c r="AT10" s="9">
        <f>SUM(AR10:AS10)</f>
        <v>189800</v>
      </c>
    </row>
    <row r="11" spans="1:46">
      <c r="A11" s="6">
        <v>4</v>
      </c>
      <c r="B11" s="6">
        <v>2026</v>
      </c>
      <c r="C11" s="6" t="s">
        <v>48</v>
      </c>
      <c r="D11" s="6"/>
      <c r="E11" s="6">
        <v>251100029</v>
      </c>
      <c r="F11" s="6" t="s">
        <v>67</v>
      </c>
      <c r="G11" s="6" t="s">
        <v>50</v>
      </c>
      <c r="H11" s="6" t="s">
        <v>68</v>
      </c>
      <c r="I11" s="6" t="s">
        <v>69</v>
      </c>
      <c r="J11" s="8" t="s">
        <v>69</v>
      </c>
      <c r="K11" s="6" t="s">
        <v>70</v>
      </c>
      <c r="L11" s="10" t="s">
        <v>71</v>
      </c>
      <c r="M11" s="10">
        <v>3723350.0</v>
      </c>
      <c r="N11" s="10">
        <v>14.0</v>
      </c>
      <c r="O11" s="10">
        <v>49.0</v>
      </c>
      <c r="P11" s="10">
        <v>1.0</v>
      </c>
      <c r="Q11" s="10">
        <v>4.0</v>
      </c>
      <c r="R11" s="10">
        <v>2540310.75</v>
      </c>
      <c r="S11" s="10">
        <v>2970071.09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0.0</v>
      </c>
      <c r="AA11" s="10">
        <v>0.0</v>
      </c>
      <c r="AB11" s="10">
        <v>0.0</v>
      </c>
      <c r="AC11" s="10">
        <v>0</v>
      </c>
      <c r="AD11" s="10">
        <v>0</v>
      </c>
      <c r="AE11" s="10">
        <v>6169258.84</v>
      </c>
      <c r="AF11" s="10" t="s">
        <v>72</v>
      </c>
      <c r="AG11" s="12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</v>
      </c>
      <c r="AO11" s="10">
        <v>0</v>
      </c>
      <c r="AP11" s="10">
        <v>0</v>
      </c>
      <c r="AQ11" s="10">
        <v>0</v>
      </c>
      <c r="AR11" s="10">
        <f>SUM(AE11,AH11:AQ11)</f>
        <v>6169258.84</v>
      </c>
      <c r="AS11" s="10">
        <v>41.16</v>
      </c>
      <c r="AT11" s="10">
        <f>SUM(AR11:AS11)</f>
        <v>6169300</v>
      </c>
    </row>
    <row r="12" spans="1:46">
      <c r="A12" s="5">
        <v>5</v>
      </c>
      <c r="B12" s="5">
        <v>2026</v>
      </c>
      <c r="C12" s="5" t="s">
        <v>48</v>
      </c>
      <c r="D12" s="5"/>
      <c r="E12" s="5">
        <v>251100030</v>
      </c>
      <c r="F12" s="5" t="s">
        <v>73</v>
      </c>
      <c r="G12" s="5" t="s">
        <v>50</v>
      </c>
      <c r="H12" s="5" t="s">
        <v>51</v>
      </c>
      <c r="I12" s="5" t="s">
        <v>74</v>
      </c>
      <c r="J12" s="7" t="s">
        <v>74</v>
      </c>
      <c r="K12" s="5" t="s">
        <v>75</v>
      </c>
      <c r="L12" s="9" t="s">
        <v>76</v>
      </c>
      <c r="M12" s="9">
        <v>3723350.0</v>
      </c>
      <c r="N12" s="9">
        <v>0.0</v>
      </c>
      <c r="O12" s="9">
        <v>7.0</v>
      </c>
      <c r="P12" s="9">
        <v>1.0</v>
      </c>
      <c r="Q12" s="9">
        <v>0.0</v>
      </c>
      <c r="R12" s="9">
        <v>508062.15</v>
      </c>
      <c r="S12" s="9">
        <v>365878.32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0.0</v>
      </c>
      <c r="AA12" s="9">
        <v>0.0</v>
      </c>
      <c r="AB12" s="9">
        <v>0.0</v>
      </c>
      <c r="AC12" s="9">
        <v>0</v>
      </c>
      <c r="AD12" s="9">
        <v>0</v>
      </c>
      <c r="AE12" s="9">
        <v>732952.49</v>
      </c>
      <c r="AF12" s="9" t="s">
        <v>55</v>
      </c>
      <c r="AG12" s="11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</v>
      </c>
      <c r="AO12" s="9">
        <v>0</v>
      </c>
      <c r="AP12" s="9">
        <v>0</v>
      </c>
      <c r="AQ12" s="9">
        <v>0</v>
      </c>
      <c r="AR12" s="9">
        <f>SUM(AE12,AH12:AQ12)</f>
        <v>732952.49</v>
      </c>
      <c r="AS12" s="9">
        <v>47.51</v>
      </c>
      <c r="AT12" s="9">
        <f>SUM(AR12:AS12)</f>
        <v>733000</v>
      </c>
    </row>
    <row r="13" spans="1:46">
      <c r="A13" s="6">
        <v>6</v>
      </c>
      <c r="B13" s="6">
        <v>2026</v>
      </c>
      <c r="C13" s="6" t="s">
        <v>48</v>
      </c>
      <c r="D13" s="6"/>
      <c r="E13" s="6">
        <v>251100040</v>
      </c>
      <c r="F13" s="6" t="s">
        <v>77</v>
      </c>
      <c r="G13" s="6" t="s">
        <v>50</v>
      </c>
      <c r="H13" s="6" t="s">
        <v>62</v>
      </c>
      <c r="I13" s="6" t="s">
        <v>78</v>
      </c>
      <c r="J13" s="8" t="s">
        <v>78</v>
      </c>
      <c r="K13" s="6" t="s">
        <v>53</v>
      </c>
      <c r="L13" s="10" t="s">
        <v>79</v>
      </c>
      <c r="M13" s="10">
        <v>3723350.0</v>
      </c>
      <c r="N13" s="10">
        <v>0.0</v>
      </c>
      <c r="O13" s="10">
        <v>0.0</v>
      </c>
      <c r="P13" s="10">
        <v>0.0</v>
      </c>
      <c r="Q13" s="10">
        <v>0.0</v>
      </c>
      <c r="R13" s="10">
        <v>677416.2</v>
      </c>
      <c r="S13" s="10">
        <v>0.0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0.0</v>
      </c>
      <c r="AA13" s="10">
        <v>0.0</v>
      </c>
      <c r="AB13" s="10">
        <v>0.0</v>
      </c>
      <c r="AC13" s="10">
        <v>0</v>
      </c>
      <c r="AD13" s="10">
        <v>0</v>
      </c>
      <c r="AE13" s="10">
        <v>741416.2</v>
      </c>
      <c r="AF13" s="10" t="s">
        <v>66</v>
      </c>
      <c r="AG13" s="12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</v>
      </c>
      <c r="AO13" s="10">
        <v>0</v>
      </c>
      <c r="AP13" s="10">
        <v>0</v>
      </c>
      <c r="AQ13" s="10">
        <v>0</v>
      </c>
      <c r="AR13" s="10">
        <f>SUM(AE13,AH13:AQ13)</f>
        <v>741416.2</v>
      </c>
      <c r="AS13" s="10">
        <v>-16.2</v>
      </c>
      <c r="AT13" s="10">
        <f>SUM(AR13:AS13)</f>
        <v>741400</v>
      </c>
    </row>
    <row r="14" spans="1:46">
      <c r="A14" s="5">
        <v>7</v>
      </c>
      <c r="B14" s="5">
        <v>2026</v>
      </c>
      <c r="C14" s="5" t="s">
        <v>48</v>
      </c>
      <c r="D14" s="5"/>
      <c r="E14" s="5">
        <v>251100024</v>
      </c>
      <c r="F14" s="5" t="s">
        <v>80</v>
      </c>
      <c r="G14" s="5" t="s">
        <v>50</v>
      </c>
      <c r="H14" s="5" t="s">
        <v>68</v>
      </c>
      <c r="I14" s="5" t="s">
        <v>81</v>
      </c>
      <c r="J14" s="7" t="s">
        <v>81</v>
      </c>
      <c r="K14" s="5" t="s">
        <v>70</v>
      </c>
      <c r="L14" s="9" t="s">
        <v>82</v>
      </c>
      <c r="M14" s="9">
        <v>3723350.0</v>
      </c>
      <c r="N14" s="9">
        <v>14.0</v>
      </c>
      <c r="O14" s="9">
        <v>49.0</v>
      </c>
      <c r="P14" s="9">
        <v>1.0</v>
      </c>
      <c r="Q14" s="9">
        <v>4.0</v>
      </c>
      <c r="R14" s="9">
        <v>2540310.75</v>
      </c>
      <c r="S14" s="9">
        <v>2970071.09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0.0</v>
      </c>
      <c r="AA14" s="9">
        <v>0.0</v>
      </c>
      <c r="AB14" s="9">
        <v>0.0</v>
      </c>
      <c r="AC14" s="9">
        <v>0</v>
      </c>
      <c r="AD14" s="9">
        <v>0</v>
      </c>
      <c r="AE14" s="9">
        <v>5766381.84</v>
      </c>
      <c r="AF14" s="9" t="s">
        <v>72</v>
      </c>
      <c r="AG14" s="11">
        <v>0.0</v>
      </c>
      <c r="AH14" s="9">
        <v>0.0</v>
      </c>
      <c r="AI14" s="9">
        <v>0.0</v>
      </c>
      <c r="AJ14" s="9">
        <v>0.0</v>
      </c>
      <c r="AK14" s="9">
        <v>0.0</v>
      </c>
      <c r="AL14" s="9">
        <v>0.0</v>
      </c>
      <c r="AM14" s="9">
        <v>0.0</v>
      </c>
      <c r="AN14" s="9">
        <v>0</v>
      </c>
      <c r="AO14" s="9">
        <v>0</v>
      </c>
      <c r="AP14" s="9">
        <v>0</v>
      </c>
      <c r="AQ14" s="9">
        <v>0</v>
      </c>
      <c r="AR14" s="9">
        <f>SUM(AE14,AH14:AQ14)</f>
        <v>5766381.84</v>
      </c>
      <c r="AS14" s="9">
        <v>18.16</v>
      </c>
      <c r="AT14" s="9">
        <f>SUM(AR14:AS14)</f>
        <v>5766400</v>
      </c>
    </row>
    <row r="15" spans="1:46">
      <c r="A15" s="6">
        <v>8</v>
      </c>
      <c r="B15" s="6">
        <v>2026</v>
      </c>
      <c r="C15" s="6" t="s">
        <v>48</v>
      </c>
      <c r="D15" s="6"/>
      <c r="E15" s="6">
        <v>251100043</v>
      </c>
      <c r="F15" s="6" t="s">
        <v>83</v>
      </c>
      <c r="G15" s="6" t="s">
        <v>50</v>
      </c>
      <c r="H15" s="6" t="s">
        <v>62</v>
      </c>
      <c r="I15" s="6" t="s">
        <v>84</v>
      </c>
      <c r="J15" s="8" t="s">
        <v>84</v>
      </c>
      <c r="K15" s="6" t="s">
        <v>53</v>
      </c>
      <c r="L15" s="10" t="s">
        <v>85</v>
      </c>
      <c r="M15" s="10">
        <v>3723350.0</v>
      </c>
      <c r="N15" s="10">
        <v>0.0</v>
      </c>
      <c r="O15" s="10">
        <v>0.0</v>
      </c>
      <c r="P15" s="10">
        <v>0.0</v>
      </c>
      <c r="Q15" s="10">
        <v>0.0</v>
      </c>
      <c r="R15" s="10">
        <v>338708.1</v>
      </c>
      <c r="S15" s="10">
        <v>0.0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0.0</v>
      </c>
      <c r="AA15" s="10">
        <v>0.0</v>
      </c>
      <c r="AB15" s="10">
        <v>0.0</v>
      </c>
      <c r="AC15" s="10">
        <v>0</v>
      </c>
      <c r="AD15" s="10">
        <v>0</v>
      </c>
      <c r="AE15" s="10">
        <v>370708.1</v>
      </c>
      <c r="AF15" s="10" t="s">
        <v>66</v>
      </c>
      <c r="AG15" s="12">
        <v>0.0</v>
      </c>
      <c r="AH15" s="10">
        <v>0.0</v>
      </c>
      <c r="AI15" s="10">
        <v>0.0</v>
      </c>
      <c r="AJ15" s="10">
        <v>0.0</v>
      </c>
      <c r="AK15" s="10">
        <v>0.0</v>
      </c>
      <c r="AL15" s="10">
        <v>0.0</v>
      </c>
      <c r="AM15" s="10">
        <v>0.0</v>
      </c>
      <c r="AN15" s="10">
        <v>0</v>
      </c>
      <c r="AO15" s="10">
        <v>0</v>
      </c>
      <c r="AP15" s="10">
        <v>0</v>
      </c>
      <c r="AQ15" s="10">
        <v>0</v>
      </c>
      <c r="AR15" s="10">
        <f>SUM(AE15,AH15:AQ15)</f>
        <v>370708.1</v>
      </c>
      <c r="AS15" s="10">
        <v>-8.1</v>
      </c>
      <c r="AT15" s="10">
        <f>SUM(AR15:AS15)</f>
        <v>370700</v>
      </c>
    </row>
    <row r="16" spans="1:46">
      <c r="A16" s="5">
        <v>9</v>
      </c>
      <c r="B16" s="5">
        <v>2026</v>
      </c>
      <c r="C16" s="5" t="s">
        <v>48</v>
      </c>
      <c r="D16" s="5"/>
      <c r="E16" s="5">
        <v>251100080</v>
      </c>
      <c r="F16" s="5" t="s">
        <v>86</v>
      </c>
      <c r="G16" s="5" t="s">
        <v>50</v>
      </c>
      <c r="H16" s="5" t="s">
        <v>87</v>
      </c>
      <c r="I16" s="5" t="s">
        <v>88</v>
      </c>
      <c r="J16" s="7" t="s">
        <v>88</v>
      </c>
      <c r="K16" s="5" t="s">
        <v>89</v>
      </c>
      <c r="L16" s="9" t="s">
        <v>65</v>
      </c>
      <c r="M16" s="9">
        <v>3723350.0</v>
      </c>
      <c r="N16" s="9">
        <v>0.0</v>
      </c>
      <c r="O16" s="9">
        <v>0.0</v>
      </c>
      <c r="P16" s="9">
        <v>0.0</v>
      </c>
      <c r="Q16" s="9">
        <v>0.0</v>
      </c>
      <c r="R16" s="9">
        <v>338708.1</v>
      </c>
      <c r="S16" s="9">
        <v>0.0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0.0</v>
      </c>
      <c r="AA16" s="9">
        <v>0.0</v>
      </c>
      <c r="AB16" s="9">
        <v>0.0</v>
      </c>
      <c r="AC16" s="9">
        <v>0</v>
      </c>
      <c r="AD16" s="9">
        <v>0</v>
      </c>
      <c r="AE16" s="9">
        <v>370708.1</v>
      </c>
      <c r="AF16" s="9" t="s">
        <v>55</v>
      </c>
      <c r="AG16" s="11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</v>
      </c>
      <c r="AO16" s="9">
        <v>0</v>
      </c>
      <c r="AP16" s="9">
        <v>0</v>
      </c>
      <c r="AQ16" s="9">
        <v>0</v>
      </c>
      <c r="AR16" s="9">
        <f>SUM(AE16,AH16:AQ16)</f>
        <v>370708.1</v>
      </c>
      <c r="AS16" s="9">
        <v>-8.1</v>
      </c>
      <c r="AT16" s="9">
        <f>SUM(AR16:AS16)</f>
        <v>370700</v>
      </c>
    </row>
    <row r="17" spans="1:46">
      <c r="A17" s="6">
        <v>10</v>
      </c>
      <c r="B17" s="6">
        <v>2026</v>
      </c>
      <c r="C17" s="6" t="s">
        <v>48</v>
      </c>
      <c r="D17" s="6"/>
      <c r="E17" s="6">
        <v>251100081</v>
      </c>
      <c r="F17" s="6" t="s">
        <v>90</v>
      </c>
      <c r="G17" s="6" t="s">
        <v>50</v>
      </c>
      <c r="H17" s="6" t="s">
        <v>62</v>
      </c>
      <c r="I17" s="6" t="s">
        <v>91</v>
      </c>
      <c r="J17" s="8" t="s">
        <v>91</v>
      </c>
      <c r="K17" s="6" t="s">
        <v>92</v>
      </c>
      <c r="L17" s="10" t="s">
        <v>76</v>
      </c>
      <c r="M17" s="10">
        <v>3723350.0</v>
      </c>
      <c r="N17" s="10">
        <v>0.0</v>
      </c>
      <c r="O17" s="10">
        <v>0.0</v>
      </c>
      <c r="P17" s="10">
        <v>0.0</v>
      </c>
      <c r="Q17" s="10">
        <v>0.0</v>
      </c>
      <c r="R17" s="10">
        <v>1016124.3</v>
      </c>
      <c r="S17" s="10">
        <v>0.0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0.0</v>
      </c>
      <c r="AA17" s="10">
        <v>0.0</v>
      </c>
      <c r="AB17" s="10">
        <v>0.0</v>
      </c>
      <c r="AC17" s="10">
        <v>0</v>
      </c>
      <c r="AD17" s="10">
        <v>0</v>
      </c>
      <c r="AE17" s="10">
        <v>1112124.3</v>
      </c>
      <c r="AF17" s="10" t="s">
        <v>66</v>
      </c>
      <c r="AG17" s="12">
        <v>0.0</v>
      </c>
      <c r="AH17" s="10">
        <v>0.0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</v>
      </c>
      <c r="AO17" s="10">
        <v>0</v>
      </c>
      <c r="AP17" s="10">
        <v>0</v>
      </c>
      <c r="AQ17" s="10">
        <v>0</v>
      </c>
      <c r="AR17" s="10">
        <f>SUM(AE17,AH17:AQ17)</f>
        <v>1112124.3</v>
      </c>
      <c r="AS17" s="10">
        <v>-24.3</v>
      </c>
      <c r="AT17" s="10">
        <f>SUM(AR17:AS17)</f>
        <v>1112100</v>
      </c>
    </row>
    <row r="18" spans="1:46">
      <c r="A18" s="5">
        <v>11</v>
      </c>
      <c r="B18" s="5">
        <v>2026</v>
      </c>
      <c r="C18" s="5" t="s">
        <v>48</v>
      </c>
      <c r="D18" s="5"/>
      <c r="E18" s="5">
        <v>251100083</v>
      </c>
      <c r="F18" s="5" t="s">
        <v>93</v>
      </c>
      <c r="G18" s="5" t="s">
        <v>50</v>
      </c>
      <c r="H18" s="5" t="s">
        <v>62</v>
      </c>
      <c r="I18" s="5" t="s">
        <v>94</v>
      </c>
      <c r="J18" s="7" t="s">
        <v>94</v>
      </c>
      <c r="K18" s="5" t="s">
        <v>75</v>
      </c>
      <c r="L18" s="9" t="s">
        <v>76</v>
      </c>
      <c r="M18" s="9">
        <v>3723350.0</v>
      </c>
      <c r="N18" s="9">
        <v>0.0</v>
      </c>
      <c r="O18" s="9">
        <v>0.0</v>
      </c>
      <c r="P18" s="9">
        <v>0.0</v>
      </c>
      <c r="Q18" s="9">
        <v>0.0</v>
      </c>
      <c r="R18" s="9">
        <v>1185478.35</v>
      </c>
      <c r="S18" s="9">
        <v>0.0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0.0</v>
      </c>
      <c r="AA18" s="9">
        <v>0.0</v>
      </c>
      <c r="AB18" s="9">
        <v>0.0</v>
      </c>
      <c r="AC18" s="9">
        <v>0</v>
      </c>
      <c r="AD18" s="9">
        <v>0</v>
      </c>
      <c r="AE18" s="9">
        <v>1437104.35</v>
      </c>
      <c r="AF18" s="9" t="s">
        <v>66</v>
      </c>
      <c r="AG18" s="11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</v>
      </c>
      <c r="AO18" s="9">
        <v>0</v>
      </c>
      <c r="AP18" s="9">
        <v>0</v>
      </c>
      <c r="AQ18" s="9">
        <v>0</v>
      </c>
      <c r="AR18" s="9">
        <f>SUM(AE18,AH18:AQ18)</f>
        <v>1437104.35</v>
      </c>
      <c r="AS18" s="9">
        <v>-4.35</v>
      </c>
      <c r="AT18" s="9">
        <f>SUM(AR18:AS18)</f>
        <v>1437100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V6"/>
    <mergeCell ref="W6:Y6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 27-01-2026 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2026-01-27T08:58:16+07:00</dcterms:created>
  <dcterms:modified xsi:type="dcterms:W3CDTF">2026-01-27T08:58:16+07:00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