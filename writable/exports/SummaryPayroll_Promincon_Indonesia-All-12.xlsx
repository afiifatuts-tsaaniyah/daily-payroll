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 Excel 20-12-2025 0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<sst xmlns="http://schemas.openxmlformats.org/spreadsheetml/2006/main" uniqueCount="238">
  <si>
    <t>PT. SANGATI SOERYA SEJAHTERA</t>
  </si>
  <si>
    <t>SUMMARY PAYROLL PT. Promincon Indonesia (All)</t>
  </si>
  <si>
    <t>Periode : 12-2025</t>
  </si>
  <si>
    <t>NO</t>
  </si>
  <si>
    <t>YEAR</t>
  </si>
  <si>
    <t>MONTH</t>
  </si>
  <si>
    <t>DEPARTEMENT</t>
  </si>
  <si>
    <t>INTERNAL ID</t>
  </si>
  <si>
    <t>NAMA</t>
  </si>
  <si>
    <t>GENDER</t>
  </si>
  <si>
    <t>MARITAL STATUS</t>
  </si>
  <si>
    <t>NPWP</t>
  </si>
  <si>
    <t>NIK</t>
  </si>
  <si>
    <t>POSITION</t>
  </si>
  <si>
    <t>ADDRESS</t>
  </si>
  <si>
    <t>BASIC SALARY</t>
  </si>
  <si>
    <t>OT 1</t>
  </si>
  <si>
    <t>OT 2</t>
  </si>
  <si>
    <t>OT 3</t>
  </si>
  <si>
    <t>OT 4</t>
  </si>
  <si>
    <t>REGULER INCOME</t>
  </si>
  <si>
    <t>NON REGULER INCOME</t>
  </si>
  <si>
    <t>JKK &amp; JKM</t>
  </si>
  <si>
    <t>HEALTH BPJS</t>
  </si>
  <si>
    <t>UNPAID TOTAL</t>
  </si>
  <si>
    <t>ADJUSTMENT IN</t>
  </si>
  <si>
    <t>ADJUSTMENT OUT</t>
  </si>
  <si>
    <t>GROSS</t>
  </si>
  <si>
    <t>GOLONGAN</t>
  </si>
  <si>
    <t>PERSENTASE</t>
  </si>
  <si>
    <t>TAX PPH21</t>
  </si>
  <si>
    <t>EMP JHT</t>
  </si>
  <si>
    <t>EMP HEALTH BPJS</t>
  </si>
  <si>
    <t>EMP JP</t>
  </si>
  <si>
    <t>THR</t>
  </si>
  <si>
    <t>CONTRACT BONUS</t>
  </si>
  <si>
    <t>ADJUSTMENT</t>
  </si>
  <si>
    <t>DEBT BURDEN</t>
  </si>
  <si>
    <t>PAYMENT</t>
  </si>
  <si>
    <t>ROUNDED</t>
  </si>
  <si>
    <t>NET PAYMENT</t>
  </si>
  <si>
    <t>SALARY</t>
  </si>
  <si>
    <t>OVERTIME TOTAL</t>
  </si>
  <si>
    <t>ATTENDANCE BONUS</t>
  </si>
  <si>
    <t>NIGHT SHIFT</t>
  </si>
  <si>
    <t>TRANSPORT</t>
  </si>
  <si>
    <t>TUNJANGAN</t>
  </si>
  <si>
    <t>OTHER ALLOWANCE</t>
  </si>
  <si>
    <t>Agus Ahir Hasibuan</t>
  </si>
  <si>
    <t>Male</t>
  </si>
  <si>
    <t>K/0</t>
  </si>
  <si>
    <t>1203291708890002</t>
  </si>
  <si>
    <t>Drilling Crew 733</t>
  </si>
  <si>
    <t>Hutaraja</t>
  </si>
  <si>
    <t>A</t>
  </si>
  <si>
    <t>Ahmad Fauzi Hasibuan</t>
  </si>
  <si>
    <t>K/2</t>
  </si>
  <si>
    <t>1203022811920002</t>
  </si>
  <si>
    <t>Drilling Crew 703</t>
  </si>
  <si>
    <t>Wek II</t>
  </si>
  <si>
    <t>B</t>
  </si>
  <si>
    <t>Ahmad Juandi Nasution</t>
  </si>
  <si>
    <t>TK/0</t>
  </si>
  <si>
    <t>1203020103000001</t>
  </si>
  <si>
    <t>Wek IV</t>
  </si>
  <si>
    <t>Ali Agusran Harahap</t>
  </si>
  <si>
    <t>1203061708810003</t>
  </si>
  <si>
    <t>Drilling Crew 741</t>
  </si>
  <si>
    <t>Angkola Selatan</t>
  </si>
  <si>
    <t>Ali Usron Siregar</t>
  </si>
  <si>
    <t>1203063112930002</t>
  </si>
  <si>
    <t>Drilling Crew 714</t>
  </si>
  <si>
    <t>Ali Wardana</t>
  </si>
  <si>
    <t>1203062307960005</t>
  </si>
  <si>
    <t>Alihot</t>
  </si>
  <si>
    <t>1203061101870001</t>
  </si>
  <si>
    <t>Amin Siregar</t>
  </si>
  <si>
    <t>1203021904890006</t>
  </si>
  <si>
    <t>Hapesong Baru</t>
  </si>
  <si>
    <t>Amir Husin</t>
  </si>
  <si>
    <t>1203060508020006</t>
  </si>
  <si>
    <t>Drilling Crew 704</t>
  </si>
  <si>
    <t>Ammar Ansori Panjaitan</t>
  </si>
  <si>
    <t>K/1</t>
  </si>
  <si>
    <t>1203022307980001</t>
  </si>
  <si>
    <t>Assistant Mechanic</t>
  </si>
  <si>
    <t>Amoi Sani Samosir</t>
  </si>
  <si>
    <t>Female</t>
  </si>
  <si>
    <t>1201085205000003</t>
  </si>
  <si>
    <t>Cleaning Service</t>
  </si>
  <si>
    <t>Amran Nasution</t>
  </si>
  <si>
    <t>K/3</t>
  </si>
  <si>
    <t>1203061707960004</t>
  </si>
  <si>
    <t>C</t>
  </si>
  <si>
    <t>Andes Putra Tunggal</t>
  </si>
  <si>
    <t>1203020805930003</t>
  </si>
  <si>
    <t>Welder</t>
  </si>
  <si>
    <t>Sumuran</t>
  </si>
  <si>
    <t>Ardiansah Siregar</t>
  </si>
  <si>
    <t>1203022104960002</t>
  </si>
  <si>
    <t>Napa</t>
  </si>
  <si>
    <t>Ardiansyah Lubis</t>
  </si>
  <si>
    <t>1203021606940013</t>
  </si>
  <si>
    <t>Garoga</t>
  </si>
  <si>
    <t>Ardin Sormin</t>
  </si>
  <si>
    <t>1203021004920001</t>
  </si>
  <si>
    <t>Arlin Frengki Sihombing</t>
  </si>
  <si>
    <t>1203021208841001</t>
  </si>
  <si>
    <t>Arnold</t>
  </si>
  <si>
    <t>1203023006911001</t>
  </si>
  <si>
    <t>Drilling Crew 734</t>
  </si>
  <si>
    <t>Wek III</t>
  </si>
  <si>
    <t>Berkat Jaya Zebua</t>
  </si>
  <si>
    <t>1203062606940004</t>
  </si>
  <si>
    <t>Daud Halomoan</t>
  </si>
  <si>
    <t>1203020207970003</t>
  </si>
  <si>
    <t>Dedi Santo Zebua</t>
  </si>
  <si>
    <t>1203022412920002</t>
  </si>
  <si>
    <t>Dodi Syaputra</t>
  </si>
  <si>
    <t>1203022006900002</t>
  </si>
  <si>
    <t>Doli Saputra Batubara</t>
  </si>
  <si>
    <t>1203021611940003</t>
  </si>
  <si>
    <t>Padangsidimpuan</t>
  </si>
  <si>
    <t>Erdianto</t>
  </si>
  <si>
    <t>1203020610910004</t>
  </si>
  <si>
    <t>Security</t>
  </si>
  <si>
    <t>Aek Pining</t>
  </si>
  <si>
    <t>Erwin Syaputra Lubis</t>
  </si>
  <si>
    <t>1203063008930004</t>
  </si>
  <si>
    <t>Fauzi Hamonangan Sibuea</t>
  </si>
  <si>
    <t>1203022604850002</t>
  </si>
  <si>
    <t>Feri Hidayat</t>
  </si>
  <si>
    <t>1203022912930004</t>
  </si>
  <si>
    <t>Batuhula</t>
  </si>
  <si>
    <t>Heldiansyah Panggabean</t>
  </si>
  <si>
    <t>1203022005000005</t>
  </si>
  <si>
    <t>Hendri Fitriadi Sagala</t>
  </si>
  <si>
    <t>1203011703820005</t>
  </si>
  <si>
    <t>Wek I</t>
  </si>
  <si>
    <t>Hendri Saputra</t>
  </si>
  <si>
    <t>1203020911970006</t>
  </si>
  <si>
    <t>Electrician</t>
  </si>
  <si>
    <t>Heri Hamjah</t>
  </si>
  <si>
    <t>1203021009940005</t>
  </si>
  <si>
    <t>Ikhwan Amin Pardede</t>
  </si>
  <si>
    <t>1203022303950004</t>
  </si>
  <si>
    <t>Ismail Sihombing</t>
  </si>
  <si>
    <t>1203061112800004</t>
  </si>
  <si>
    <t>Jamaluddin Pane</t>
  </si>
  <si>
    <t>1203021802960004</t>
  </si>
  <si>
    <t>Jumalin</t>
  </si>
  <si>
    <t>1277030304830001</t>
  </si>
  <si>
    <t>Khoirul Anwar Siregar</t>
  </si>
  <si>
    <t>1203020703010002</t>
  </si>
  <si>
    <t>Magrib Efendi Batu Bara</t>
  </si>
  <si>
    <t>1203011608900003</t>
  </si>
  <si>
    <t>Mandala Putra Hasibuan</t>
  </si>
  <si>
    <t>1203061707970004</t>
  </si>
  <si>
    <t>Marali Tua Simanungkalit</t>
  </si>
  <si>
    <t>1503081506870002</t>
  </si>
  <si>
    <t>Mardianto Rambe</t>
  </si>
  <si>
    <t>1203061211980005</t>
  </si>
  <si>
    <t>Mardiyanto</t>
  </si>
  <si>
    <t>1203020503880008</t>
  </si>
  <si>
    <t>Maria Simatupang</t>
  </si>
  <si>
    <t>1203024501950001</t>
  </si>
  <si>
    <t>MUD Control</t>
  </si>
  <si>
    <t>Tapanuli Selatan</t>
  </si>
  <si>
    <t>Marlinus Waruhu</t>
  </si>
  <si>
    <t>1203022505940003</t>
  </si>
  <si>
    <t>Tapanuli Tengah</t>
  </si>
  <si>
    <t>Marwan Efendi</t>
  </si>
  <si>
    <t>1203020910020005</t>
  </si>
  <si>
    <t>Masriadi Galingging</t>
  </si>
  <si>
    <t>1203020303880004</t>
  </si>
  <si>
    <t>Drilling Crew</t>
  </si>
  <si>
    <t>Miserrianus</t>
  </si>
  <si>
    <t>1203061204880005</t>
  </si>
  <si>
    <t>Muhammad Febrian Kosasih</t>
  </si>
  <si>
    <t>1203022508050002</t>
  </si>
  <si>
    <t>Crew Loading Point</t>
  </si>
  <si>
    <t>Muhammad Ifan</t>
  </si>
  <si>
    <t>1203062306040003</t>
  </si>
  <si>
    <t>Muhammad Rizal Siregar</t>
  </si>
  <si>
    <t>1203022906860001</t>
  </si>
  <si>
    <t>Muliadi</t>
  </si>
  <si>
    <t>1203020303970005</t>
  </si>
  <si>
    <t>Pardamean Lubis</t>
  </si>
  <si>
    <t>1203022009990008</t>
  </si>
  <si>
    <t>Rahmad Diki Harahap</t>
  </si>
  <si>
    <t>1203020104010003</t>
  </si>
  <si>
    <t>Rahmadsyah Siregar</t>
  </si>
  <si>
    <t>1203022602780001</t>
  </si>
  <si>
    <t>Redi Robert Siahaan</t>
  </si>
  <si>
    <t>1208010501970003</t>
  </si>
  <si>
    <t>Ridoan Siregar</t>
  </si>
  <si>
    <t>1203020711890006</t>
  </si>
  <si>
    <t>Telo</t>
  </si>
  <si>
    <t>Riduwan Nainggolan</t>
  </si>
  <si>
    <t>1203020101940008</t>
  </si>
  <si>
    <t>Rito Siregar</t>
  </si>
  <si>
    <t>1203062012840003</t>
  </si>
  <si>
    <t>Ronaldo Simamora</t>
  </si>
  <si>
    <t>1502021702010002</t>
  </si>
  <si>
    <t>Ruth Lamey Marlina Pasaribu</t>
  </si>
  <si>
    <t>6401055905040002</t>
  </si>
  <si>
    <t>Sabarudin Pohan</t>
  </si>
  <si>
    <t>1203040812890001</t>
  </si>
  <si>
    <t>Saedar Mulia Lubis</t>
  </si>
  <si>
    <t>1203012401800001</t>
  </si>
  <si>
    <t>Sahlan Harahap</t>
  </si>
  <si>
    <t>1203060302900004</t>
  </si>
  <si>
    <t>Saut Halomoan Rambe</t>
  </si>
  <si>
    <t>1407053112750056</t>
  </si>
  <si>
    <t>Saut Pardamean Pulungan</t>
  </si>
  <si>
    <t>1203021311920003</t>
  </si>
  <si>
    <t>Stepan Dearmon Zebua</t>
  </si>
  <si>
    <t>1203021212970011</t>
  </si>
  <si>
    <t>Suar Efendi</t>
  </si>
  <si>
    <t>1203022407870002</t>
  </si>
  <si>
    <t>Suparmin</t>
  </si>
  <si>
    <t>1203020603850006</t>
  </si>
  <si>
    <t>Masinis</t>
  </si>
  <si>
    <t>Surya Agustus Silalahi</t>
  </si>
  <si>
    <t>1203022208920001</t>
  </si>
  <si>
    <t>Triadi Saputra</t>
  </si>
  <si>
    <t>1203060503980004</t>
  </si>
  <si>
    <t>Viki Candra Siregar</t>
  </si>
  <si>
    <t>1203021804940005</t>
  </si>
  <si>
    <t>Crew Drilling</t>
  </si>
  <si>
    <t>Wahyudi</t>
  </si>
  <si>
    <t>1203060207030002</t>
  </si>
  <si>
    <t>Wahyudi Amanda</t>
  </si>
  <si>
    <t>1203022301770001</t>
  </si>
  <si>
    <t>Welda Herman Lubis</t>
  </si>
  <si>
    <t>1203060206830005</t>
  </si>
  <si>
    <t>Zainal Arifin Hasibuan</t>
  </si>
  <si>
    <t>1203020607890007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</si>
</sst>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singl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2BE6B"/>
        <bgColor rgb="FF000000"/>
      </patternFill>
    </fill>
    <fill>
      <patternFill patternType="solid">
        <fgColor rgb="FFEAEBAF"/>
        <bgColor rgb="FF000000"/>
      </patternFill>
    </fill>
  </fills>
  <borders count="2">
    <border/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0">
      <alignment horizontal="general" vertical="bottom" textRotation="0" wrapText="false" shrinkToFit="false"/>
    </xf>
    <xf xfId="0" fontId="0" numFmtId="49" fillId="0" borderId="1" applyFont="0" applyNumberFormat="1" applyFill="0" applyBorder="1" applyAlignment="0">
      <alignment horizontal="general" vertical="bottom" textRotation="0" wrapText="false" shrinkToFit="false"/>
    </xf>
    <xf xfId="0" fontId="0" numFmtId="49" fillId="3" borderId="1" applyFont="0" applyNumberFormat="1" applyFill="1" applyBorder="1" applyAlignment="0">
      <alignment horizontal="general" vertical="bottom" textRotation="0" wrapText="false" shrinkToFit="false"/>
    </xf>
    <xf xfId="0" fontId="0" numFmtId="4" fillId="0" borderId="1" applyFont="0" applyNumberFormat="1" applyFill="0" applyBorder="1" applyAlignment="0">
      <alignment horizontal="general" vertical="bottom" textRotation="0" wrapText="false" shrinkToFit="false"/>
    </xf>
    <xf xfId="0" fontId="0" numFmtId="4" fillId="3" borderId="1" applyFont="0" applyNumberFormat="1" applyFill="1" applyBorder="1" applyAlignment="0">
      <alignment horizontal="general" vertical="bottom" textRotation="0" wrapText="false" shrinkToFit="false"/>
    </xf>
    <xf xfId="0" fontId="0" numFmtId="10" fillId="0" borderId="1" applyFont="0" applyNumberFormat="1" applyFill="0" applyBorder="1" applyAlignment="0">
      <alignment horizontal="general" vertical="bottom" textRotation="0" wrapText="false" shrinkToFit="false"/>
    </xf>
    <xf xfId="0" fontId="0" numFmtId="10" fillId="3" borderId="1" applyFont="0" applyNumberFormat="1" applyFill="1" applyBorder="1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T82"/>
  <sheetViews>
    <sheetView tabSelected="1" workbookViewId="0" showGridLines="true" showRowColHeaders="1">
      <selection activeCell="A6" sqref="A6:AT82"/>
    </sheetView>
  </sheetViews>
  <sheetFormatPr defaultRowHeight="14.4" outlineLevelRow="0" outlineLevelCol="0"/>
  <cols>
    <col min="46" max="46" width="15" bestFit="true" customWidth="true" style="0"/>
  </cols>
  <sheetData>
    <row r="1" spans="1:46">
      <c r="A1" s="1" t="s">
        <v>0</v>
      </c>
      <c r="B1" s="1"/>
      <c r="C1" s="1"/>
      <c r="D1" s="1"/>
    </row>
    <row r="2" spans="1:46">
      <c r="A2" s="2" t="s">
        <v>1</v>
      </c>
      <c r="B2" s="2"/>
      <c r="C2" s="2"/>
      <c r="D2" s="2"/>
    </row>
    <row r="4" spans="1:46">
      <c r="A4" s="3" t="s">
        <v>2</v>
      </c>
      <c r="B4" s="3"/>
      <c r="C4" s="3"/>
      <c r="D4" s="3"/>
      <c r="E4" s="3"/>
      <c r="F4" s="3"/>
      <c r="G4" s="3"/>
    </row>
    <row r="6" spans="1:46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4" t="s">
        <v>8</v>
      </c>
      <c r="G6" s="4" t="s">
        <v>9</v>
      </c>
      <c r="H6" s="4" t="s">
        <v>10</v>
      </c>
      <c r="I6" s="4" t="s">
        <v>11</v>
      </c>
      <c r="J6" s="4" t="s">
        <v>12</v>
      </c>
      <c r="K6" s="4" t="s">
        <v>13</v>
      </c>
      <c r="L6" s="4" t="s">
        <v>14</v>
      </c>
      <c r="M6" s="4" t="s">
        <v>15</v>
      </c>
      <c r="N6" s="4" t="s">
        <v>16</v>
      </c>
      <c r="O6" s="4" t="s">
        <v>17</v>
      </c>
      <c r="P6" s="4" t="s">
        <v>18</v>
      </c>
      <c r="Q6" s="4" t="s">
        <v>19</v>
      </c>
      <c r="R6" s="4" t="s">
        <v>20</v>
      </c>
      <c r="S6" s="4"/>
      <c r="T6" s="4"/>
      <c r="U6" s="4"/>
      <c r="V6" s="4"/>
      <c r="W6" s="4" t="s">
        <v>21</v>
      </c>
      <c r="X6" s="4"/>
      <c r="Y6" s="4"/>
      <c r="Z6" s="4" t="s">
        <v>22</v>
      </c>
      <c r="AA6" s="4" t="s">
        <v>23</v>
      </c>
      <c r="AB6" s="4" t="s">
        <v>24</v>
      </c>
      <c r="AC6" s="4" t="s">
        <v>25</v>
      </c>
      <c r="AD6" s="4" t="s">
        <v>26</v>
      </c>
      <c r="AE6" s="4" t="s">
        <v>27</v>
      </c>
      <c r="AF6" s="4" t="s">
        <v>28</v>
      </c>
      <c r="AG6" s="4" t="s">
        <v>29</v>
      </c>
      <c r="AH6" s="4" t="s">
        <v>30</v>
      </c>
      <c r="AI6" s="4" t="s">
        <v>22</v>
      </c>
      <c r="AJ6" s="4" t="s">
        <v>31</v>
      </c>
      <c r="AK6" s="4" t="s">
        <v>23</v>
      </c>
      <c r="AL6" s="4" t="s">
        <v>32</v>
      </c>
      <c r="AM6" s="4" t="s">
        <v>33</v>
      </c>
      <c r="AN6" s="4" t="s">
        <v>34</v>
      </c>
      <c r="AO6" s="4" t="s">
        <v>35</v>
      </c>
      <c r="AP6" s="4" t="s">
        <v>36</v>
      </c>
      <c r="AQ6" s="4" t="s">
        <v>37</v>
      </c>
      <c r="AR6" s="4" t="s">
        <v>38</v>
      </c>
      <c r="AS6" s="4" t="s">
        <v>39</v>
      </c>
      <c r="AT6" s="4" t="s">
        <v>40</v>
      </c>
    </row>
    <row r="7" spans="1:46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 t="s">
        <v>41</v>
      </c>
      <c r="S7" s="4" t="s">
        <v>42</v>
      </c>
      <c r="T7" s="4" t="s">
        <v>43</v>
      </c>
      <c r="U7" s="4" t="s">
        <v>44</v>
      </c>
      <c r="V7" s="4" t="s">
        <v>45</v>
      </c>
      <c r="W7" s="4" t="s">
        <v>34</v>
      </c>
      <c r="X7" s="4" t="s">
        <v>46</v>
      </c>
      <c r="Y7" s="4" t="s">
        <v>47</v>
      </c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</row>
    <row r="8" spans="1:46">
      <c r="A8" s="5">
        <v>1</v>
      </c>
      <c r="B8" s="5">
        <v>2025</v>
      </c>
      <c r="C8" s="5">
        <v>12</v>
      </c>
      <c r="D8" s="5"/>
      <c r="E8" s="5">
        <v>251100085</v>
      </c>
      <c r="F8" s="5" t="s">
        <v>48</v>
      </c>
      <c r="G8" s="5" t="s">
        <v>49</v>
      </c>
      <c r="H8" s="5" t="s">
        <v>50</v>
      </c>
      <c r="I8" s="5" t="s">
        <v>51</v>
      </c>
      <c r="J8" s="7" t="s">
        <v>51</v>
      </c>
      <c r="K8" s="5" t="s">
        <v>52</v>
      </c>
      <c r="L8" s="9" t="s">
        <v>53</v>
      </c>
      <c r="M8" s="9">
        <v>3387081.0</v>
      </c>
      <c r="N8" s="9">
        <v>10.0</v>
      </c>
      <c r="O8" s="9">
        <v>30.0</v>
      </c>
      <c r="P8" s="9">
        <v>0.0</v>
      </c>
      <c r="Q8" s="9">
        <v>0.0</v>
      </c>
      <c r="R8" s="9">
        <v>1693540.5</v>
      </c>
      <c r="S8" s="9">
        <v>1468387.71</v>
      </c>
      <c r="T8" s="9">
        <v>60000</v>
      </c>
      <c r="U8" s="9">
        <v>254031</v>
      </c>
      <c r="V8" s="9">
        <v>100000</v>
      </c>
      <c r="W8" s="9">
        <v>0</v>
      </c>
      <c r="X8" s="9">
        <v>0</v>
      </c>
      <c r="Y8" s="9">
        <v>0</v>
      </c>
      <c r="Z8" s="9">
        <v>69096.45</v>
      </c>
      <c r="AA8" s="9">
        <v>135483.24</v>
      </c>
      <c r="AB8" s="9">
        <v>0.0</v>
      </c>
      <c r="AC8" s="9">
        <v>0</v>
      </c>
      <c r="AD8" s="9">
        <v>0</v>
      </c>
      <c r="AE8" s="9">
        <v>3780538.9</v>
      </c>
      <c r="AF8" s="9" t="s">
        <v>54</v>
      </c>
      <c r="AG8" s="11">
        <v>0.0</v>
      </c>
      <c r="AH8" s="9">
        <v>0.0</v>
      </c>
      <c r="AI8" s="9">
        <v>-69096.45</v>
      </c>
      <c r="AJ8" s="9">
        <v>-67741.62</v>
      </c>
      <c r="AK8" s="9">
        <v>-135483.24</v>
      </c>
      <c r="AL8" s="9">
        <v>-33870.81</v>
      </c>
      <c r="AM8" s="9">
        <v>-33870.81</v>
      </c>
      <c r="AN8" s="9">
        <v>0</v>
      </c>
      <c r="AO8" s="9">
        <v>0</v>
      </c>
      <c r="AP8" s="9">
        <v>0</v>
      </c>
      <c r="AQ8" s="9">
        <v>0</v>
      </c>
      <c r="AR8" s="9">
        <f>SUM(AE8,AH8:AQ8)</f>
        <v>3440475.97</v>
      </c>
      <c r="AS8" s="9">
        <v>24.03</v>
      </c>
      <c r="AT8" s="9">
        <f>SUM(AR8:AS8)</f>
        <v>3440500</v>
      </c>
    </row>
    <row r="9" spans="1:46">
      <c r="A9" s="6">
        <v>2</v>
      </c>
      <c r="B9" s="6">
        <v>2025</v>
      </c>
      <c r="C9" s="6">
        <v>12</v>
      </c>
      <c r="D9" s="6"/>
      <c r="E9" s="6">
        <v>251100042</v>
      </c>
      <c r="F9" s="6" t="s">
        <v>55</v>
      </c>
      <c r="G9" s="6" t="s">
        <v>49</v>
      </c>
      <c r="H9" s="6" t="s">
        <v>56</v>
      </c>
      <c r="I9" s="6" t="s">
        <v>57</v>
      </c>
      <c r="J9" s="8" t="s">
        <v>57</v>
      </c>
      <c r="K9" s="6" t="s">
        <v>58</v>
      </c>
      <c r="L9" s="10" t="s">
        <v>59</v>
      </c>
      <c r="M9" s="10">
        <v>3387081.0</v>
      </c>
      <c r="N9" s="10">
        <v>12.0</v>
      </c>
      <c r="O9" s="10">
        <v>36.0</v>
      </c>
      <c r="P9" s="10">
        <v>0.0</v>
      </c>
      <c r="Q9" s="10">
        <v>0.0</v>
      </c>
      <c r="R9" s="10">
        <v>2032248.6</v>
      </c>
      <c r="S9" s="10">
        <v>1762065.26</v>
      </c>
      <c r="T9" s="10">
        <v>72000</v>
      </c>
      <c r="U9" s="10">
        <v>279434</v>
      </c>
      <c r="V9" s="10">
        <v>120000</v>
      </c>
      <c r="W9" s="10">
        <v>0</v>
      </c>
      <c r="X9" s="10">
        <v>0</v>
      </c>
      <c r="Y9" s="10">
        <v>0</v>
      </c>
      <c r="Z9" s="10">
        <v>69096.45</v>
      </c>
      <c r="AA9" s="10">
        <v>135483.24</v>
      </c>
      <c r="AB9" s="10">
        <v>0.0</v>
      </c>
      <c r="AC9" s="10">
        <v>0</v>
      </c>
      <c r="AD9" s="10">
        <v>0</v>
      </c>
      <c r="AE9" s="10">
        <v>4470327.55</v>
      </c>
      <c r="AF9" s="10" t="s">
        <v>60</v>
      </c>
      <c r="AG9" s="12">
        <v>0.0</v>
      </c>
      <c r="AH9" s="10">
        <v>0.0</v>
      </c>
      <c r="AI9" s="10">
        <v>-69096.45</v>
      </c>
      <c r="AJ9" s="10">
        <v>-67741.62</v>
      </c>
      <c r="AK9" s="10">
        <v>-135483.24</v>
      </c>
      <c r="AL9" s="10">
        <v>-33870.81</v>
      </c>
      <c r="AM9" s="10">
        <v>-33870.81</v>
      </c>
      <c r="AN9" s="10">
        <v>0</v>
      </c>
      <c r="AO9" s="10">
        <v>0</v>
      </c>
      <c r="AP9" s="10">
        <v>0</v>
      </c>
      <c r="AQ9" s="10">
        <v>0</v>
      </c>
      <c r="AR9" s="10">
        <f>SUM(AE9,AH9:AQ9)</f>
        <v>4130264.62</v>
      </c>
      <c r="AS9" s="10">
        <v>35.38</v>
      </c>
      <c r="AT9" s="10">
        <f>SUM(AR9:AS9)</f>
        <v>4130300</v>
      </c>
    </row>
    <row r="10" spans="1:46">
      <c r="A10" s="5">
        <v>3</v>
      </c>
      <c r="B10" s="5">
        <v>2025</v>
      </c>
      <c r="C10" s="5">
        <v>12</v>
      </c>
      <c r="D10" s="5"/>
      <c r="E10" s="5">
        <v>251100049</v>
      </c>
      <c r="F10" s="5" t="s">
        <v>61</v>
      </c>
      <c r="G10" s="5" t="s">
        <v>49</v>
      </c>
      <c r="H10" s="5" t="s">
        <v>62</v>
      </c>
      <c r="I10" s="5" t="s">
        <v>63</v>
      </c>
      <c r="J10" s="7" t="s">
        <v>63</v>
      </c>
      <c r="K10" s="5" t="s">
        <v>58</v>
      </c>
      <c r="L10" s="9" t="s">
        <v>64</v>
      </c>
      <c r="M10" s="9">
        <v>3387081.0</v>
      </c>
      <c r="N10" s="9">
        <v>10.0</v>
      </c>
      <c r="O10" s="9">
        <v>30.0</v>
      </c>
      <c r="P10" s="9">
        <v>0.0</v>
      </c>
      <c r="Q10" s="9">
        <v>0.0</v>
      </c>
      <c r="R10" s="9">
        <v>1693540.5</v>
      </c>
      <c r="S10" s="9">
        <v>1468387.71</v>
      </c>
      <c r="T10" s="9">
        <v>60000</v>
      </c>
      <c r="U10" s="9">
        <v>0</v>
      </c>
      <c r="V10" s="9">
        <v>100000</v>
      </c>
      <c r="W10" s="9">
        <v>0</v>
      </c>
      <c r="X10" s="9">
        <v>0</v>
      </c>
      <c r="Y10" s="9">
        <v>0</v>
      </c>
      <c r="Z10" s="9">
        <v>69096.45</v>
      </c>
      <c r="AA10" s="9">
        <v>135483.24</v>
      </c>
      <c r="AB10" s="9">
        <v>0.0</v>
      </c>
      <c r="AC10" s="9">
        <v>0</v>
      </c>
      <c r="AD10" s="9">
        <v>0</v>
      </c>
      <c r="AE10" s="9">
        <v>3526507.9</v>
      </c>
      <c r="AF10" s="9" t="s">
        <v>54</v>
      </c>
      <c r="AG10" s="11">
        <v>0.0</v>
      </c>
      <c r="AH10" s="9">
        <v>0.0</v>
      </c>
      <c r="AI10" s="9">
        <v>-69096.45</v>
      </c>
      <c r="AJ10" s="9">
        <v>-67741.62</v>
      </c>
      <c r="AK10" s="9">
        <v>-135483.24</v>
      </c>
      <c r="AL10" s="9">
        <v>-33870.81</v>
      </c>
      <c r="AM10" s="9">
        <v>-33870.81</v>
      </c>
      <c r="AN10" s="9">
        <v>0</v>
      </c>
      <c r="AO10" s="9">
        <v>0</v>
      </c>
      <c r="AP10" s="9">
        <v>0</v>
      </c>
      <c r="AQ10" s="9">
        <v>0</v>
      </c>
      <c r="AR10" s="9">
        <f>SUM(AE10,AH10:AQ10)</f>
        <v>3186444.97</v>
      </c>
      <c r="AS10" s="9">
        <v>-44.97</v>
      </c>
      <c r="AT10" s="9">
        <f>SUM(AR10:AS10)</f>
        <v>3186400</v>
      </c>
    </row>
    <row r="11" spans="1:46">
      <c r="A11" s="6">
        <v>4</v>
      </c>
      <c r="B11" s="6">
        <v>2025</v>
      </c>
      <c r="C11" s="6">
        <v>12</v>
      </c>
      <c r="D11" s="6"/>
      <c r="E11" s="6">
        <v>251100089</v>
      </c>
      <c r="F11" s="6" t="s">
        <v>65</v>
      </c>
      <c r="G11" s="6" t="s">
        <v>49</v>
      </c>
      <c r="H11" s="6" t="s">
        <v>50</v>
      </c>
      <c r="I11" s="6" t="s">
        <v>66</v>
      </c>
      <c r="J11" s="8" t="s">
        <v>66</v>
      </c>
      <c r="K11" s="6" t="s">
        <v>67</v>
      </c>
      <c r="L11" s="10" t="s">
        <v>68</v>
      </c>
      <c r="M11" s="10">
        <v>3387081.0</v>
      </c>
      <c r="N11" s="10">
        <v>8.0</v>
      </c>
      <c r="O11" s="10">
        <v>24.0</v>
      </c>
      <c r="P11" s="10">
        <v>0.0</v>
      </c>
      <c r="Q11" s="10">
        <v>0.0</v>
      </c>
      <c r="R11" s="10">
        <v>1354832.4</v>
      </c>
      <c r="S11" s="10">
        <v>1174710.17</v>
      </c>
      <c r="T11" s="10">
        <v>48000</v>
      </c>
      <c r="U11" s="10">
        <v>203225</v>
      </c>
      <c r="V11" s="10">
        <v>80000</v>
      </c>
      <c r="W11" s="10">
        <v>0</v>
      </c>
      <c r="X11" s="10">
        <v>0</v>
      </c>
      <c r="Y11" s="10">
        <v>0</v>
      </c>
      <c r="Z11" s="10">
        <v>69096.45</v>
      </c>
      <c r="AA11" s="10">
        <v>135483.24</v>
      </c>
      <c r="AB11" s="10">
        <v>0.0</v>
      </c>
      <c r="AC11" s="10">
        <v>0</v>
      </c>
      <c r="AD11" s="10">
        <v>0</v>
      </c>
      <c r="AE11" s="10">
        <v>3065347.26</v>
      </c>
      <c r="AF11" s="10" t="s">
        <v>54</v>
      </c>
      <c r="AG11" s="12">
        <v>0.0</v>
      </c>
      <c r="AH11" s="10">
        <v>0.0</v>
      </c>
      <c r="AI11" s="10">
        <v>-69096.45</v>
      </c>
      <c r="AJ11" s="10">
        <v>-67741.62</v>
      </c>
      <c r="AK11" s="10">
        <v>-135483.24</v>
      </c>
      <c r="AL11" s="10">
        <v>-33870.81</v>
      </c>
      <c r="AM11" s="10">
        <v>-33870.81</v>
      </c>
      <c r="AN11" s="10">
        <v>0</v>
      </c>
      <c r="AO11" s="10">
        <v>0</v>
      </c>
      <c r="AP11" s="10">
        <v>0</v>
      </c>
      <c r="AQ11" s="10">
        <v>0</v>
      </c>
      <c r="AR11" s="10">
        <f>SUM(AE11,AH11:AQ11)</f>
        <v>2725284.33</v>
      </c>
      <c r="AS11" s="10">
        <v>15.67</v>
      </c>
      <c r="AT11" s="10">
        <f>SUM(AR11:AS11)</f>
        <v>2725300</v>
      </c>
    </row>
    <row r="12" spans="1:46">
      <c r="A12" s="5">
        <v>5</v>
      </c>
      <c r="B12" s="5">
        <v>2025</v>
      </c>
      <c r="C12" s="5">
        <v>12</v>
      </c>
      <c r="D12" s="5"/>
      <c r="E12" s="5">
        <v>251100067</v>
      </c>
      <c r="F12" s="5" t="s">
        <v>69</v>
      </c>
      <c r="G12" s="5" t="s">
        <v>49</v>
      </c>
      <c r="H12" s="5" t="s">
        <v>56</v>
      </c>
      <c r="I12" s="5" t="s">
        <v>70</v>
      </c>
      <c r="J12" s="7" t="s">
        <v>70</v>
      </c>
      <c r="K12" s="5" t="s">
        <v>71</v>
      </c>
      <c r="L12" s="9" t="s">
        <v>68</v>
      </c>
      <c r="M12" s="9">
        <v>3387081.0</v>
      </c>
      <c r="N12" s="9">
        <v>12.0</v>
      </c>
      <c r="O12" s="9">
        <v>36.0</v>
      </c>
      <c r="P12" s="9">
        <v>0.0</v>
      </c>
      <c r="Q12" s="9">
        <v>0.0</v>
      </c>
      <c r="R12" s="9">
        <v>2032248.6</v>
      </c>
      <c r="S12" s="9">
        <v>1762065.26</v>
      </c>
      <c r="T12" s="9">
        <v>72000</v>
      </c>
      <c r="U12" s="9">
        <v>0</v>
      </c>
      <c r="V12" s="9">
        <v>120000</v>
      </c>
      <c r="W12" s="9">
        <v>0</v>
      </c>
      <c r="X12" s="9">
        <v>0</v>
      </c>
      <c r="Y12" s="9">
        <v>0</v>
      </c>
      <c r="Z12" s="9">
        <v>69096.45</v>
      </c>
      <c r="AA12" s="9">
        <v>135483.24</v>
      </c>
      <c r="AB12" s="9">
        <v>0.0</v>
      </c>
      <c r="AC12" s="9">
        <v>0</v>
      </c>
      <c r="AD12" s="9">
        <v>0</v>
      </c>
      <c r="AE12" s="9">
        <v>4190893.55</v>
      </c>
      <c r="AF12" s="9" t="s">
        <v>60</v>
      </c>
      <c r="AG12" s="11">
        <v>0.0</v>
      </c>
      <c r="AH12" s="9">
        <v>0.0</v>
      </c>
      <c r="AI12" s="9">
        <v>-69096.45</v>
      </c>
      <c r="AJ12" s="9">
        <v>-67741.62</v>
      </c>
      <c r="AK12" s="9">
        <v>-135483.24</v>
      </c>
      <c r="AL12" s="9">
        <v>-33870.81</v>
      </c>
      <c r="AM12" s="9">
        <v>-33870.81</v>
      </c>
      <c r="AN12" s="9">
        <v>0</v>
      </c>
      <c r="AO12" s="9">
        <v>0</v>
      </c>
      <c r="AP12" s="9">
        <v>0</v>
      </c>
      <c r="AQ12" s="9">
        <v>0</v>
      </c>
      <c r="AR12" s="9">
        <f>SUM(AE12,AH12:AQ12)</f>
        <v>3850830.62</v>
      </c>
      <c r="AS12" s="9">
        <v>-30.62</v>
      </c>
      <c r="AT12" s="9">
        <f>SUM(AR12:AS12)</f>
        <v>3850800</v>
      </c>
    </row>
    <row r="13" spans="1:46">
      <c r="A13" s="6">
        <v>6</v>
      </c>
      <c r="B13" s="6">
        <v>2025</v>
      </c>
      <c r="C13" s="6">
        <v>12</v>
      </c>
      <c r="D13" s="6"/>
      <c r="E13" s="6">
        <v>251100066</v>
      </c>
      <c r="F13" s="6" t="s">
        <v>72</v>
      </c>
      <c r="G13" s="6" t="s">
        <v>49</v>
      </c>
      <c r="H13" s="6" t="s">
        <v>62</v>
      </c>
      <c r="I13" s="6" t="s">
        <v>73</v>
      </c>
      <c r="J13" s="8" t="s">
        <v>73</v>
      </c>
      <c r="K13" s="6" t="s">
        <v>67</v>
      </c>
      <c r="L13" s="10" t="s">
        <v>68</v>
      </c>
      <c r="M13" s="10">
        <v>3387081.0</v>
      </c>
      <c r="N13" s="10">
        <v>12.0</v>
      </c>
      <c r="O13" s="10">
        <v>36.0</v>
      </c>
      <c r="P13" s="10">
        <v>0.0</v>
      </c>
      <c r="Q13" s="10">
        <v>0.0</v>
      </c>
      <c r="R13" s="10">
        <v>2032248.6</v>
      </c>
      <c r="S13" s="10">
        <v>1762065.26</v>
      </c>
      <c r="T13" s="10">
        <v>72000</v>
      </c>
      <c r="U13" s="10">
        <v>304837</v>
      </c>
      <c r="V13" s="10">
        <v>120000</v>
      </c>
      <c r="W13" s="10">
        <v>0</v>
      </c>
      <c r="X13" s="10">
        <v>0</v>
      </c>
      <c r="Y13" s="10">
        <v>0</v>
      </c>
      <c r="Z13" s="10">
        <v>69096.45</v>
      </c>
      <c r="AA13" s="10">
        <v>135483.24</v>
      </c>
      <c r="AB13" s="10">
        <v>0.0</v>
      </c>
      <c r="AC13" s="10">
        <v>0</v>
      </c>
      <c r="AD13" s="10">
        <v>0</v>
      </c>
      <c r="AE13" s="10">
        <v>4495730.55</v>
      </c>
      <c r="AF13" s="10" t="s">
        <v>54</v>
      </c>
      <c r="AG13" s="12">
        <v>0.0</v>
      </c>
      <c r="AH13" s="10">
        <v>0.0</v>
      </c>
      <c r="AI13" s="10">
        <v>-69096.45</v>
      </c>
      <c r="AJ13" s="10">
        <v>-67741.62</v>
      </c>
      <c r="AK13" s="10">
        <v>-135483.24</v>
      </c>
      <c r="AL13" s="10">
        <v>-33870.81</v>
      </c>
      <c r="AM13" s="10">
        <v>-33870.81</v>
      </c>
      <c r="AN13" s="10">
        <v>0</v>
      </c>
      <c r="AO13" s="10">
        <v>0</v>
      </c>
      <c r="AP13" s="10">
        <v>0</v>
      </c>
      <c r="AQ13" s="10">
        <v>0</v>
      </c>
      <c r="AR13" s="10">
        <f>SUM(AE13,AH13:AQ13)</f>
        <v>4155667.62</v>
      </c>
      <c r="AS13" s="10">
        <v>32.38</v>
      </c>
      <c r="AT13" s="10">
        <f>SUM(AR13:AS13)</f>
        <v>4155700</v>
      </c>
    </row>
    <row r="14" spans="1:46">
      <c r="A14" s="5">
        <v>7</v>
      </c>
      <c r="B14" s="5">
        <v>2025</v>
      </c>
      <c r="C14" s="5">
        <v>12</v>
      </c>
      <c r="D14" s="5"/>
      <c r="E14" s="5">
        <v>251100074</v>
      </c>
      <c r="F14" s="5" t="s">
        <v>74</v>
      </c>
      <c r="G14" s="5" t="s">
        <v>49</v>
      </c>
      <c r="H14" s="5" t="s">
        <v>56</v>
      </c>
      <c r="I14" s="5" t="s">
        <v>75</v>
      </c>
      <c r="J14" s="7" t="s">
        <v>75</v>
      </c>
      <c r="K14" s="5" t="s">
        <v>71</v>
      </c>
      <c r="L14" s="9" t="s">
        <v>68</v>
      </c>
      <c r="M14" s="9">
        <v>3387081.0</v>
      </c>
      <c r="N14" s="9">
        <v>2.0</v>
      </c>
      <c r="O14" s="9">
        <v>6.0</v>
      </c>
      <c r="P14" s="9">
        <v>0.0</v>
      </c>
      <c r="Q14" s="9">
        <v>0.0</v>
      </c>
      <c r="R14" s="9">
        <v>338708.1</v>
      </c>
      <c r="S14" s="9">
        <v>293677.54</v>
      </c>
      <c r="T14" s="9">
        <v>12000</v>
      </c>
      <c r="U14" s="9">
        <v>25403</v>
      </c>
      <c r="V14" s="9">
        <v>20000</v>
      </c>
      <c r="W14" s="9">
        <v>0</v>
      </c>
      <c r="X14" s="9">
        <v>0</v>
      </c>
      <c r="Y14" s="9">
        <v>0</v>
      </c>
      <c r="Z14" s="9">
        <v>69096.45</v>
      </c>
      <c r="AA14" s="9">
        <v>135483.24</v>
      </c>
      <c r="AB14" s="9">
        <v>0.0</v>
      </c>
      <c r="AC14" s="9">
        <v>0</v>
      </c>
      <c r="AD14" s="9">
        <v>0</v>
      </c>
      <c r="AE14" s="9">
        <v>894368.33</v>
      </c>
      <c r="AF14" s="9" t="s">
        <v>60</v>
      </c>
      <c r="AG14" s="11">
        <v>0.0</v>
      </c>
      <c r="AH14" s="9">
        <v>0.0</v>
      </c>
      <c r="AI14" s="9">
        <v>-69096.45</v>
      </c>
      <c r="AJ14" s="9">
        <v>-67741.62</v>
      </c>
      <c r="AK14" s="9">
        <v>-135483.24</v>
      </c>
      <c r="AL14" s="9">
        <v>-33870.81</v>
      </c>
      <c r="AM14" s="9">
        <v>-33870.81</v>
      </c>
      <c r="AN14" s="9">
        <v>0</v>
      </c>
      <c r="AO14" s="9">
        <v>0</v>
      </c>
      <c r="AP14" s="9">
        <v>0</v>
      </c>
      <c r="AQ14" s="9">
        <v>0</v>
      </c>
      <c r="AR14" s="9">
        <f>SUM(AE14,AH14:AQ14)</f>
        <v>554305.4</v>
      </c>
      <c r="AS14" s="9">
        <v>-5.4</v>
      </c>
      <c r="AT14" s="9">
        <f>SUM(AR14:AS14)</f>
        <v>554300</v>
      </c>
    </row>
    <row r="15" spans="1:46">
      <c r="A15" s="6">
        <v>8</v>
      </c>
      <c r="B15" s="6">
        <v>2025</v>
      </c>
      <c r="C15" s="6">
        <v>12</v>
      </c>
      <c r="D15" s="6"/>
      <c r="E15" s="6">
        <v>251100052</v>
      </c>
      <c r="F15" s="6" t="s">
        <v>76</v>
      </c>
      <c r="G15" s="6" t="s">
        <v>49</v>
      </c>
      <c r="H15" s="6" t="s">
        <v>56</v>
      </c>
      <c r="I15" s="6" t="s">
        <v>77</v>
      </c>
      <c r="J15" s="8" t="s">
        <v>77</v>
      </c>
      <c r="K15" s="6" t="s">
        <v>58</v>
      </c>
      <c r="L15" s="10" t="s">
        <v>78</v>
      </c>
      <c r="M15" s="10">
        <v>3387081.0</v>
      </c>
      <c r="N15" s="10">
        <v>3.0</v>
      </c>
      <c r="O15" s="10">
        <v>9.0</v>
      </c>
      <c r="P15" s="10">
        <v>0.0</v>
      </c>
      <c r="Q15" s="10">
        <v>0.0</v>
      </c>
      <c r="R15" s="10">
        <v>508062.15</v>
      </c>
      <c r="S15" s="10">
        <v>440516.31</v>
      </c>
      <c r="T15" s="10">
        <v>18000</v>
      </c>
      <c r="U15" s="10">
        <v>76209</v>
      </c>
      <c r="V15" s="10">
        <v>30000</v>
      </c>
      <c r="W15" s="10">
        <v>0</v>
      </c>
      <c r="X15" s="10">
        <v>0</v>
      </c>
      <c r="Y15" s="10">
        <v>0</v>
      </c>
      <c r="Z15" s="10">
        <v>69096.45</v>
      </c>
      <c r="AA15" s="10">
        <v>135483.24</v>
      </c>
      <c r="AB15" s="10">
        <v>0.0</v>
      </c>
      <c r="AC15" s="10">
        <v>0</v>
      </c>
      <c r="AD15" s="10">
        <v>0</v>
      </c>
      <c r="AE15" s="10">
        <v>1277367.15</v>
      </c>
      <c r="AF15" s="10" t="s">
        <v>60</v>
      </c>
      <c r="AG15" s="12">
        <v>0.0</v>
      </c>
      <c r="AH15" s="10">
        <v>0.0</v>
      </c>
      <c r="AI15" s="10">
        <v>-69096.45</v>
      </c>
      <c r="AJ15" s="10">
        <v>-67741.62</v>
      </c>
      <c r="AK15" s="10">
        <v>-135483.24</v>
      </c>
      <c r="AL15" s="10">
        <v>-33870.81</v>
      </c>
      <c r="AM15" s="10">
        <v>-33870.81</v>
      </c>
      <c r="AN15" s="10">
        <v>0</v>
      </c>
      <c r="AO15" s="10">
        <v>0</v>
      </c>
      <c r="AP15" s="10">
        <v>0</v>
      </c>
      <c r="AQ15" s="10">
        <v>0</v>
      </c>
      <c r="AR15" s="10">
        <f>SUM(AE15,AH15:AQ15)</f>
        <v>937304.22</v>
      </c>
      <c r="AS15" s="10">
        <v>-4.22</v>
      </c>
      <c r="AT15" s="10">
        <f>SUM(AR15:AS15)</f>
        <v>937300</v>
      </c>
    </row>
    <row r="16" spans="1:46">
      <c r="A16" s="5">
        <v>9</v>
      </c>
      <c r="B16" s="5">
        <v>2025</v>
      </c>
      <c r="C16" s="5">
        <v>12</v>
      </c>
      <c r="D16" s="5"/>
      <c r="E16" s="5">
        <v>251100075</v>
      </c>
      <c r="F16" s="5" t="s">
        <v>79</v>
      </c>
      <c r="G16" s="5" t="s">
        <v>49</v>
      </c>
      <c r="H16" s="5" t="s">
        <v>56</v>
      </c>
      <c r="I16" s="5" t="s">
        <v>80</v>
      </c>
      <c r="J16" s="7" t="s">
        <v>80</v>
      </c>
      <c r="K16" s="5" t="s">
        <v>81</v>
      </c>
      <c r="L16" s="9" t="s">
        <v>68</v>
      </c>
      <c r="M16" s="9">
        <v>3387081.0</v>
      </c>
      <c r="N16" s="9">
        <v>8.0</v>
      </c>
      <c r="O16" s="9">
        <v>24.0</v>
      </c>
      <c r="P16" s="9">
        <v>0.0</v>
      </c>
      <c r="Q16" s="9">
        <v>0.0</v>
      </c>
      <c r="R16" s="9">
        <v>1354832.4</v>
      </c>
      <c r="S16" s="9">
        <v>1174710.17</v>
      </c>
      <c r="T16" s="9">
        <v>48000</v>
      </c>
      <c r="U16" s="9">
        <v>0</v>
      </c>
      <c r="V16" s="9">
        <v>80000</v>
      </c>
      <c r="W16" s="9">
        <v>0</v>
      </c>
      <c r="X16" s="9">
        <v>0</v>
      </c>
      <c r="Y16" s="9">
        <v>0</v>
      </c>
      <c r="Z16" s="9">
        <v>69096.45</v>
      </c>
      <c r="AA16" s="9">
        <v>135483.24</v>
      </c>
      <c r="AB16" s="9">
        <v>0.0</v>
      </c>
      <c r="AC16" s="9">
        <v>0</v>
      </c>
      <c r="AD16" s="9">
        <v>0</v>
      </c>
      <c r="AE16" s="9">
        <v>2862122.26</v>
      </c>
      <c r="AF16" s="9" t="s">
        <v>60</v>
      </c>
      <c r="AG16" s="11">
        <v>0.0</v>
      </c>
      <c r="AH16" s="9">
        <v>0.0</v>
      </c>
      <c r="AI16" s="9">
        <v>-69096.45</v>
      </c>
      <c r="AJ16" s="9">
        <v>-67741.62</v>
      </c>
      <c r="AK16" s="9">
        <v>-135483.24</v>
      </c>
      <c r="AL16" s="9">
        <v>-33870.81</v>
      </c>
      <c r="AM16" s="9">
        <v>-33870.81</v>
      </c>
      <c r="AN16" s="9">
        <v>0</v>
      </c>
      <c r="AO16" s="9">
        <v>0</v>
      </c>
      <c r="AP16" s="9">
        <v>0</v>
      </c>
      <c r="AQ16" s="9">
        <v>0</v>
      </c>
      <c r="AR16" s="9">
        <f>SUM(AE16,AH16:AQ16)</f>
        <v>2522059.33</v>
      </c>
      <c r="AS16" s="9">
        <v>40.67</v>
      </c>
      <c r="AT16" s="9">
        <f>SUM(AR16:AS16)</f>
        <v>2522100</v>
      </c>
    </row>
    <row r="17" spans="1:46">
      <c r="A17" s="6">
        <v>10</v>
      </c>
      <c r="B17" s="6">
        <v>2025</v>
      </c>
      <c r="C17" s="6">
        <v>12</v>
      </c>
      <c r="D17" s="6"/>
      <c r="E17" s="6">
        <v>251100028</v>
      </c>
      <c r="F17" s="6" t="s">
        <v>82</v>
      </c>
      <c r="G17" s="6" t="s">
        <v>49</v>
      </c>
      <c r="H17" s="6" t="s">
        <v>83</v>
      </c>
      <c r="I17" s="6" t="s">
        <v>84</v>
      </c>
      <c r="J17" s="8" t="s">
        <v>84</v>
      </c>
      <c r="K17" s="6" t="s">
        <v>85</v>
      </c>
      <c r="L17" s="10" t="s">
        <v>59</v>
      </c>
      <c r="M17" s="10">
        <v>3387081.0</v>
      </c>
      <c r="N17" s="10">
        <v>13.0</v>
      </c>
      <c r="O17" s="10">
        <v>39.0</v>
      </c>
      <c r="P17" s="10">
        <v>0.0</v>
      </c>
      <c r="Q17" s="10">
        <v>0.0</v>
      </c>
      <c r="R17" s="10">
        <v>2201602.65</v>
      </c>
      <c r="S17" s="10">
        <v>1908904.04</v>
      </c>
      <c r="T17" s="10">
        <v>78000</v>
      </c>
      <c r="U17" s="10">
        <v>50806</v>
      </c>
      <c r="V17" s="10">
        <v>130000</v>
      </c>
      <c r="W17" s="10">
        <v>0</v>
      </c>
      <c r="X17" s="10">
        <v>0</v>
      </c>
      <c r="Y17" s="10">
        <v>0</v>
      </c>
      <c r="Z17" s="10">
        <v>69096.45</v>
      </c>
      <c r="AA17" s="10">
        <v>135483.24</v>
      </c>
      <c r="AB17" s="10">
        <v>0.0</v>
      </c>
      <c r="AC17" s="10">
        <v>0</v>
      </c>
      <c r="AD17" s="10">
        <v>0</v>
      </c>
      <c r="AE17" s="10">
        <v>4573892.38</v>
      </c>
      <c r="AF17" s="10" t="s">
        <v>60</v>
      </c>
      <c r="AG17" s="12">
        <v>0.0</v>
      </c>
      <c r="AH17" s="10">
        <v>0.0</v>
      </c>
      <c r="AI17" s="10">
        <v>-69096.45</v>
      </c>
      <c r="AJ17" s="10">
        <v>-67741.62</v>
      </c>
      <c r="AK17" s="10">
        <v>-135483.24</v>
      </c>
      <c r="AL17" s="10">
        <v>-33870.81</v>
      </c>
      <c r="AM17" s="10">
        <v>-33870.81</v>
      </c>
      <c r="AN17" s="10">
        <v>0</v>
      </c>
      <c r="AO17" s="10">
        <v>0</v>
      </c>
      <c r="AP17" s="10">
        <v>0</v>
      </c>
      <c r="AQ17" s="10">
        <v>0</v>
      </c>
      <c r="AR17" s="10">
        <f>SUM(AE17,AH17:AQ17)</f>
        <v>4233829.45</v>
      </c>
      <c r="AS17" s="10">
        <v>-29.45</v>
      </c>
      <c r="AT17" s="10">
        <f>SUM(AR17:AS17)</f>
        <v>4233800</v>
      </c>
    </row>
    <row r="18" spans="1:46">
      <c r="A18" s="5">
        <v>11</v>
      </c>
      <c r="B18" s="5">
        <v>2025</v>
      </c>
      <c r="C18" s="5">
        <v>12</v>
      </c>
      <c r="D18" s="5"/>
      <c r="E18" s="5">
        <v>251100033</v>
      </c>
      <c r="F18" s="5" t="s">
        <v>86</v>
      </c>
      <c r="G18" s="5" t="s">
        <v>87</v>
      </c>
      <c r="H18" s="5" t="s">
        <v>62</v>
      </c>
      <c r="I18" s="5" t="s">
        <v>88</v>
      </c>
      <c r="J18" s="7" t="s">
        <v>88</v>
      </c>
      <c r="K18" s="5" t="s">
        <v>89</v>
      </c>
      <c r="L18" s="9" t="s">
        <v>78</v>
      </c>
      <c r="M18" s="9">
        <v>3387081.0</v>
      </c>
      <c r="N18" s="9">
        <v>16.0</v>
      </c>
      <c r="O18" s="9">
        <v>0.0</v>
      </c>
      <c r="P18" s="9">
        <v>0.0</v>
      </c>
      <c r="Q18" s="9">
        <v>0.0</v>
      </c>
      <c r="R18" s="9">
        <v>2709664.8</v>
      </c>
      <c r="S18" s="9">
        <v>469884.07</v>
      </c>
      <c r="T18" s="9">
        <v>96000</v>
      </c>
      <c r="U18" s="9">
        <v>0</v>
      </c>
      <c r="V18" s="9">
        <v>160000</v>
      </c>
      <c r="W18" s="9">
        <v>0</v>
      </c>
      <c r="X18" s="9">
        <v>0</v>
      </c>
      <c r="Y18" s="9">
        <v>0</v>
      </c>
      <c r="Z18" s="9">
        <v>69096.45</v>
      </c>
      <c r="AA18" s="9">
        <v>135483.24</v>
      </c>
      <c r="AB18" s="9">
        <v>0.0</v>
      </c>
      <c r="AC18" s="9">
        <v>0</v>
      </c>
      <c r="AD18" s="9">
        <v>0</v>
      </c>
      <c r="AE18" s="9">
        <v>3640128.56</v>
      </c>
      <c r="AF18" s="9" t="s">
        <v>54</v>
      </c>
      <c r="AG18" s="11">
        <v>0.0</v>
      </c>
      <c r="AH18" s="9">
        <v>0.0</v>
      </c>
      <c r="AI18" s="9">
        <v>-69096.45</v>
      </c>
      <c r="AJ18" s="9">
        <v>-67741.62</v>
      </c>
      <c r="AK18" s="9">
        <v>-135483.24</v>
      </c>
      <c r="AL18" s="9">
        <v>-33870.81</v>
      </c>
      <c r="AM18" s="9">
        <v>-33870.81</v>
      </c>
      <c r="AN18" s="9">
        <v>0</v>
      </c>
      <c r="AO18" s="9">
        <v>0</v>
      </c>
      <c r="AP18" s="9">
        <v>0</v>
      </c>
      <c r="AQ18" s="9">
        <v>0</v>
      </c>
      <c r="AR18" s="9">
        <f>SUM(AE18,AH18:AQ18)</f>
        <v>3300065.63</v>
      </c>
      <c r="AS18" s="9">
        <v>34.37</v>
      </c>
      <c r="AT18" s="9">
        <f>SUM(AR18:AS18)</f>
        <v>3300100</v>
      </c>
    </row>
    <row r="19" spans="1:46">
      <c r="A19" s="6">
        <v>12</v>
      </c>
      <c r="B19" s="6">
        <v>2025</v>
      </c>
      <c r="C19" s="6">
        <v>12</v>
      </c>
      <c r="D19" s="6"/>
      <c r="E19" s="6">
        <v>221000315</v>
      </c>
      <c r="F19" s="6" t="s">
        <v>90</v>
      </c>
      <c r="G19" s="6" t="s">
        <v>49</v>
      </c>
      <c r="H19" s="6" t="s">
        <v>91</v>
      </c>
      <c r="I19" s="6" t="s">
        <v>92</v>
      </c>
      <c r="J19" s="8" t="s">
        <v>92</v>
      </c>
      <c r="K19" s="6" t="s">
        <v>71</v>
      </c>
      <c r="L19" s="10" t="s">
        <v>68</v>
      </c>
      <c r="M19" s="10">
        <v>3387081.0</v>
      </c>
      <c r="N19" s="10">
        <v>17.0</v>
      </c>
      <c r="O19" s="10">
        <v>51.0</v>
      </c>
      <c r="P19" s="10">
        <v>0.0</v>
      </c>
      <c r="Q19" s="10">
        <v>0.0</v>
      </c>
      <c r="R19" s="10">
        <v>2879018.85</v>
      </c>
      <c r="S19" s="10">
        <v>2496259.11</v>
      </c>
      <c r="T19" s="10">
        <v>102000</v>
      </c>
      <c r="U19" s="10">
        <v>101612</v>
      </c>
      <c r="V19" s="10">
        <v>170000</v>
      </c>
      <c r="W19" s="10">
        <v>0</v>
      </c>
      <c r="X19" s="10">
        <v>0</v>
      </c>
      <c r="Y19" s="10">
        <v>0</v>
      </c>
      <c r="Z19" s="10">
        <v>69096.45</v>
      </c>
      <c r="AA19" s="10">
        <v>135483.24</v>
      </c>
      <c r="AB19" s="10">
        <v>0.0</v>
      </c>
      <c r="AC19" s="10">
        <v>0</v>
      </c>
      <c r="AD19" s="10">
        <v>0</v>
      </c>
      <c r="AE19" s="10">
        <v>5953469.65</v>
      </c>
      <c r="AF19" s="10" t="s">
        <v>93</v>
      </c>
      <c r="AG19" s="12">
        <v>0.0</v>
      </c>
      <c r="AH19" s="10">
        <v>0.0</v>
      </c>
      <c r="AI19" s="10">
        <v>-69096.45</v>
      </c>
      <c r="AJ19" s="10">
        <v>-67741.62</v>
      </c>
      <c r="AK19" s="10">
        <v>-135483.24</v>
      </c>
      <c r="AL19" s="10">
        <v>-33870.81</v>
      </c>
      <c r="AM19" s="10">
        <v>-33870.81</v>
      </c>
      <c r="AN19" s="10">
        <v>0</v>
      </c>
      <c r="AO19" s="10">
        <v>0</v>
      </c>
      <c r="AP19" s="10">
        <v>0</v>
      </c>
      <c r="AQ19" s="10">
        <v>0</v>
      </c>
      <c r="AR19" s="10">
        <f>SUM(AE19,AH19:AQ19)</f>
        <v>5613406.72</v>
      </c>
      <c r="AS19" s="10">
        <v>-6.72</v>
      </c>
      <c r="AT19" s="10">
        <f>SUM(AR19:AS19)</f>
        <v>5613400</v>
      </c>
    </row>
    <row r="20" spans="1:46">
      <c r="A20" s="5">
        <v>13</v>
      </c>
      <c r="B20" s="5">
        <v>2025</v>
      </c>
      <c r="C20" s="5">
        <v>12</v>
      </c>
      <c r="D20" s="5"/>
      <c r="E20" s="5">
        <v>251100035</v>
      </c>
      <c r="F20" s="5" t="s">
        <v>94</v>
      </c>
      <c r="G20" s="5" t="s">
        <v>49</v>
      </c>
      <c r="H20" s="5" t="s">
        <v>91</v>
      </c>
      <c r="I20" s="5" t="s">
        <v>95</v>
      </c>
      <c r="J20" s="7" t="s">
        <v>95</v>
      </c>
      <c r="K20" s="5" t="s">
        <v>96</v>
      </c>
      <c r="L20" s="9" t="s">
        <v>97</v>
      </c>
      <c r="M20" s="9">
        <v>3387081.0</v>
      </c>
      <c r="N20" s="9">
        <v>10.0</v>
      </c>
      <c r="O20" s="9">
        <v>30.0</v>
      </c>
      <c r="P20" s="9">
        <v>0.0</v>
      </c>
      <c r="Q20" s="9">
        <v>0.0</v>
      </c>
      <c r="R20" s="9">
        <v>1693540.5</v>
      </c>
      <c r="S20" s="9">
        <v>1468387.71</v>
      </c>
      <c r="T20" s="9">
        <v>60000</v>
      </c>
      <c r="U20" s="9">
        <v>0</v>
      </c>
      <c r="V20" s="9">
        <v>100000</v>
      </c>
      <c r="W20" s="9">
        <v>0</v>
      </c>
      <c r="X20" s="9">
        <v>0</v>
      </c>
      <c r="Y20" s="9">
        <v>0</v>
      </c>
      <c r="Z20" s="9">
        <v>69096.45</v>
      </c>
      <c r="AA20" s="9">
        <v>135483.24</v>
      </c>
      <c r="AB20" s="9">
        <v>0.0</v>
      </c>
      <c r="AC20" s="9">
        <v>0</v>
      </c>
      <c r="AD20" s="9">
        <v>0</v>
      </c>
      <c r="AE20" s="9">
        <v>3526507.9</v>
      </c>
      <c r="AF20" s="9" t="s">
        <v>93</v>
      </c>
      <c r="AG20" s="11">
        <v>0.0</v>
      </c>
      <c r="AH20" s="9">
        <v>0.0</v>
      </c>
      <c r="AI20" s="9">
        <v>-69096.45</v>
      </c>
      <c r="AJ20" s="9">
        <v>-67741.62</v>
      </c>
      <c r="AK20" s="9">
        <v>-135483.24</v>
      </c>
      <c r="AL20" s="9">
        <v>-33870.81</v>
      </c>
      <c r="AM20" s="9">
        <v>-33870.81</v>
      </c>
      <c r="AN20" s="9">
        <v>0</v>
      </c>
      <c r="AO20" s="9">
        <v>0</v>
      </c>
      <c r="AP20" s="9">
        <v>0</v>
      </c>
      <c r="AQ20" s="9">
        <v>0</v>
      </c>
      <c r="AR20" s="9">
        <f>SUM(AE20,AH20:AQ20)</f>
        <v>3186444.97</v>
      </c>
      <c r="AS20" s="9">
        <v>-44.97</v>
      </c>
      <c r="AT20" s="9">
        <f>SUM(AR20:AS20)</f>
        <v>3186400</v>
      </c>
    </row>
    <row r="21" spans="1:46">
      <c r="A21" s="6">
        <v>14</v>
      </c>
      <c r="B21" s="6">
        <v>2025</v>
      </c>
      <c r="C21" s="6">
        <v>12</v>
      </c>
      <c r="D21" s="6"/>
      <c r="E21" s="6">
        <v>251100023</v>
      </c>
      <c r="F21" s="6" t="s">
        <v>98</v>
      </c>
      <c r="G21" s="6" t="s">
        <v>49</v>
      </c>
      <c r="H21" s="6" t="s">
        <v>62</v>
      </c>
      <c r="I21" s="6" t="s">
        <v>99</v>
      </c>
      <c r="J21" s="8" t="s">
        <v>99</v>
      </c>
      <c r="K21" s="6" t="s">
        <v>85</v>
      </c>
      <c r="L21" s="10" t="s">
        <v>100</v>
      </c>
      <c r="M21" s="10">
        <v>3387081.0</v>
      </c>
      <c r="N21" s="10">
        <v>23.0</v>
      </c>
      <c r="O21" s="10">
        <v>69.0</v>
      </c>
      <c r="P21" s="10">
        <v>0.0</v>
      </c>
      <c r="Q21" s="10">
        <v>0.0</v>
      </c>
      <c r="R21" s="10">
        <v>3895143.15</v>
      </c>
      <c r="S21" s="10">
        <v>3377291.75</v>
      </c>
      <c r="T21" s="10">
        <v>138000</v>
      </c>
      <c r="U21" s="10">
        <v>0</v>
      </c>
      <c r="V21" s="10">
        <v>230000</v>
      </c>
      <c r="W21" s="10">
        <v>0</v>
      </c>
      <c r="X21" s="10">
        <v>0</v>
      </c>
      <c r="Y21" s="10">
        <v>0</v>
      </c>
      <c r="Z21" s="10">
        <v>69096.45</v>
      </c>
      <c r="AA21" s="10">
        <v>135483.24</v>
      </c>
      <c r="AB21" s="10">
        <v>0.0</v>
      </c>
      <c r="AC21" s="10">
        <v>0</v>
      </c>
      <c r="AD21" s="10">
        <v>0</v>
      </c>
      <c r="AE21" s="10">
        <v>7845014.59</v>
      </c>
      <c r="AF21" s="10" t="s">
        <v>54</v>
      </c>
      <c r="AG21" s="12">
        <v>0.015</v>
      </c>
      <c r="AH21" s="10">
        <v>-117675.0</v>
      </c>
      <c r="AI21" s="10">
        <v>-69096.45</v>
      </c>
      <c r="AJ21" s="10">
        <v>-67741.62</v>
      </c>
      <c r="AK21" s="10">
        <v>-135483.24</v>
      </c>
      <c r="AL21" s="10">
        <v>-33870.81</v>
      </c>
      <c r="AM21" s="10">
        <v>-33870.81</v>
      </c>
      <c r="AN21" s="10">
        <v>0</v>
      </c>
      <c r="AO21" s="10">
        <v>0</v>
      </c>
      <c r="AP21" s="10">
        <v>0</v>
      </c>
      <c r="AQ21" s="10">
        <v>0</v>
      </c>
      <c r="AR21" s="10">
        <f>SUM(AE21,AH21:AQ21)</f>
        <v>7387276.66</v>
      </c>
      <c r="AS21" s="10">
        <v>23.34</v>
      </c>
      <c r="AT21" s="10">
        <f>SUM(AR21:AS21)</f>
        <v>7387300</v>
      </c>
    </row>
    <row r="22" spans="1:46">
      <c r="A22" s="5">
        <v>15</v>
      </c>
      <c r="B22" s="5">
        <v>2025</v>
      </c>
      <c r="C22" s="5">
        <v>12</v>
      </c>
      <c r="D22" s="5"/>
      <c r="E22" s="5">
        <v>251100044</v>
      </c>
      <c r="F22" s="5" t="s">
        <v>101</v>
      </c>
      <c r="G22" s="5" t="s">
        <v>49</v>
      </c>
      <c r="H22" s="5" t="s">
        <v>83</v>
      </c>
      <c r="I22" s="5" t="s">
        <v>102</v>
      </c>
      <c r="J22" s="7" t="s">
        <v>102</v>
      </c>
      <c r="K22" s="5" t="s">
        <v>58</v>
      </c>
      <c r="L22" s="9" t="s">
        <v>103</v>
      </c>
      <c r="M22" s="9">
        <v>3387081.0</v>
      </c>
      <c r="N22" s="9">
        <v>9.0</v>
      </c>
      <c r="O22" s="9">
        <v>27.0</v>
      </c>
      <c r="P22" s="9">
        <v>0.0</v>
      </c>
      <c r="Q22" s="9">
        <v>0.0</v>
      </c>
      <c r="R22" s="9">
        <v>1524186.45</v>
      </c>
      <c r="S22" s="9">
        <v>1321548.95</v>
      </c>
      <c r="T22" s="9">
        <v>54000</v>
      </c>
      <c r="U22" s="9">
        <v>177822</v>
      </c>
      <c r="V22" s="9">
        <v>90000</v>
      </c>
      <c r="W22" s="9">
        <v>0</v>
      </c>
      <c r="X22" s="9">
        <v>0</v>
      </c>
      <c r="Y22" s="9">
        <v>0</v>
      </c>
      <c r="Z22" s="9">
        <v>69096.45</v>
      </c>
      <c r="AA22" s="9">
        <v>135483.24</v>
      </c>
      <c r="AB22" s="9">
        <v>0.0</v>
      </c>
      <c r="AC22" s="9">
        <v>0</v>
      </c>
      <c r="AD22" s="9">
        <v>0</v>
      </c>
      <c r="AE22" s="9">
        <v>3372137.09</v>
      </c>
      <c r="AF22" s="9" t="s">
        <v>60</v>
      </c>
      <c r="AG22" s="11">
        <v>0.0</v>
      </c>
      <c r="AH22" s="9">
        <v>0.0</v>
      </c>
      <c r="AI22" s="9">
        <v>-69096.45</v>
      </c>
      <c r="AJ22" s="9">
        <v>-67741.62</v>
      </c>
      <c r="AK22" s="9">
        <v>-135483.24</v>
      </c>
      <c r="AL22" s="9">
        <v>-33870.81</v>
      </c>
      <c r="AM22" s="9">
        <v>-33870.81</v>
      </c>
      <c r="AN22" s="9">
        <v>0</v>
      </c>
      <c r="AO22" s="9">
        <v>0</v>
      </c>
      <c r="AP22" s="9">
        <v>0</v>
      </c>
      <c r="AQ22" s="9">
        <v>0</v>
      </c>
      <c r="AR22" s="9">
        <f>SUM(AE22,AH22:AQ22)</f>
        <v>3032074.16</v>
      </c>
      <c r="AS22" s="9">
        <v>25.84</v>
      </c>
      <c r="AT22" s="9">
        <f>SUM(AR22:AS22)</f>
        <v>3032100</v>
      </c>
    </row>
    <row r="23" spans="1:46">
      <c r="A23" s="6">
        <v>16</v>
      </c>
      <c r="B23" s="6">
        <v>2025</v>
      </c>
      <c r="C23" s="6">
        <v>12</v>
      </c>
      <c r="D23" s="6"/>
      <c r="E23" s="6">
        <v>251100039</v>
      </c>
      <c r="F23" s="6" t="s">
        <v>104</v>
      </c>
      <c r="G23" s="6" t="s">
        <v>49</v>
      </c>
      <c r="H23" s="6" t="s">
        <v>56</v>
      </c>
      <c r="I23" s="6" t="s">
        <v>105</v>
      </c>
      <c r="J23" s="8" t="s">
        <v>105</v>
      </c>
      <c r="K23" s="6" t="s">
        <v>58</v>
      </c>
      <c r="L23" s="10" t="s">
        <v>64</v>
      </c>
      <c r="M23" s="10">
        <v>3387081.0</v>
      </c>
      <c r="N23" s="10">
        <v>8.0</v>
      </c>
      <c r="O23" s="10">
        <v>24.0</v>
      </c>
      <c r="P23" s="10">
        <v>0.0</v>
      </c>
      <c r="Q23" s="10">
        <v>0.0</v>
      </c>
      <c r="R23" s="10">
        <v>1354832.4</v>
      </c>
      <c r="S23" s="10">
        <v>1174710.17</v>
      </c>
      <c r="T23" s="10">
        <v>48000</v>
      </c>
      <c r="U23" s="10">
        <v>0</v>
      </c>
      <c r="V23" s="10">
        <v>80000</v>
      </c>
      <c r="W23" s="10">
        <v>0</v>
      </c>
      <c r="X23" s="10">
        <v>0</v>
      </c>
      <c r="Y23" s="10">
        <v>0</v>
      </c>
      <c r="Z23" s="10">
        <v>69096.45</v>
      </c>
      <c r="AA23" s="10">
        <v>135483.24</v>
      </c>
      <c r="AB23" s="10">
        <v>0.0</v>
      </c>
      <c r="AC23" s="10">
        <v>0</v>
      </c>
      <c r="AD23" s="10">
        <v>0</v>
      </c>
      <c r="AE23" s="10">
        <v>2862122.26</v>
      </c>
      <c r="AF23" s="10" t="s">
        <v>60</v>
      </c>
      <c r="AG23" s="12">
        <v>0.0</v>
      </c>
      <c r="AH23" s="10">
        <v>0.0</v>
      </c>
      <c r="AI23" s="10">
        <v>-69096.45</v>
      </c>
      <c r="AJ23" s="10">
        <v>-67741.62</v>
      </c>
      <c r="AK23" s="10">
        <v>-135483.24</v>
      </c>
      <c r="AL23" s="10">
        <v>-33870.81</v>
      </c>
      <c r="AM23" s="10">
        <v>-33870.81</v>
      </c>
      <c r="AN23" s="10">
        <v>0</v>
      </c>
      <c r="AO23" s="10">
        <v>0</v>
      </c>
      <c r="AP23" s="10">
        <v>0</v>
      </c>
      <c r="AQ23" s="10">
        <v>0</v>
      </c>
      <c r="AR23" s="10">
        <f>SUM(AE23,AH23:AQ23)</f>
        <v>2522059.33</v>
      </c>
      <c r="AS23" s="10">
        <v>40.67</v>
      </c>
      <c r="AT23" s="10">
        <f>SUM(AR23:AS23)</f>
        <v>2522100</v>
      </c>
    </row>
    <row r="24" spans="1:46">
      <c r="A24" s="5">
        <v>17</v>
      </c>
      <c r="B24" s="5">
        <v>2025</v>
      </c>
      <c r="C24" s="5">
        <v>12</v>
      </c>
      <c r="D24" s="5"/>
      <c r="E24" s="5">
        <v>251100086</v>
      </c>
      <c r="F24" s="5" t="s">
        <v>106</v>
      </c>
      <c r="G24" s="5" t="s">
        <v>49</v>
      </c>
      <c r="H24" s="5" t="s">
        <v>91</v>
      </c>
      <c r="I24" s="5" t="s">
        <v>107</v>
      </c>
      <c r="J24" s="7" t="s">
        <v>107</v>
      </c>
      <c r="K24" s="5" t="s">
        <v>52</v>
      </c>
      <c r="L24" s="9" t="s">
        <v>64</v>
      </c>
      <c r="M24" s="9">
        <v>3387081.0</v>
      </c>
      <c r="N24" s="9">
        <v>10.0</v>
      </c>
      <c r="O24" s="9">
        <v>30.0</v>
      </c>
      <c r="P24" s="9">
        <v>0.0</v>
      </c>
      <c r="Q24" s="9">
        <v>0.0</v>
      </c>
      <c r="R24" s="9">
        <v>1693540.5</v>
      </c>
      <c r="S24" s="9">
        <v>1468387.71</v>
      </c>
      <c r="T24" s="9">
        <v>60000</v>
      </c>
      <c r="U24" s="9">
        <v>254031</v>
      </c>
      <c r="V24" s="9">
        <v>100000</v>
      </c>
      <c r="W24" s="9">
        <v>0</v>
      </c>
      <c r="X24" s="9">
        <v>0</v>
      </c>
      <c r="Y24" s="9">
        <v>0</v>
      </c>
      <c r="Z24" s="9">
        <v>69096.45</v>
      </c>
      <c r="AA24" s="9">
        <v>135483.24</v>
      </c>
      <c r="AB24" s="9">
        <v>0.0</v>
      </c>
      <c r="AC24" s="9">
        <v>0</v>
      </c>
      <c r="AD24" s="9">
        <v>0</v>
      </c>
      <c r="AE24" s="9">
        <v>3780538.9</v>
      </c>
      <c r="AF24" s="9" t="s">
        <v>93</v>
      </c>
      <c r="AG24" s="11">
        <v>0.0</v>
      </c>
      <c r="AH24" s="9">
        <v>0.0</v>
      </c>
      <c r="AI24" s="9">
        <v>-69096.45</v>
      </c>
      <c r="AJ24" s="9">
        <v>-67741.62</v>
      </c>
      <c r="AK24" s="9">
        <v>-135483.24</v>
      </c>
      <c r="AL24" s="9">
        <v>-33870.81</v>
      </c>
      <c r="AM24" s="9">
        <v>-33870.81</v>
      </c>
      <c r="AN24" s="9">
        <v>0</v>
      </c>
      <c r="AO24" s="9">
        <v>0</v>
      </c>
      <c r="AP24" s="9">
        <v>0</v>
      </c>
      <c r="AQ24" s="9">
        <v>0</v>
      </c>
      <c r="AR24" s="9">
        <f>SUM(AE24,AH24:AQ24)</f>
        <v>3440475.97</v>
      </c>
      <c r="AS24" s="9">
        <v>24.03</v>
      </c>
      <c r="AT24" s="9">
        <f>SUM(AR24:AS24)</f>
        <v>3440500</v>
      </c>
    </row>
    <row r="25" spans="1:46">
      <c r="A25" s="6">
        <v>18</v>
      </c>
      <c r="B25" s="6">
        <v>2025</v>
      </c>
      <c r="C25" s="6">
        <v>12</v>
      </c>
      <c r="D25" s="6"/>
      <c r="E25" s="6">
        <v>251100055</v>
      </c>
      <c r="F25" s="6" t="s">
        <v>108</v>
      </c>
      <c r="G25" s="6" t="s">
        <v>49</v>
      </c>
      <c r="H25" s="6" t="s">
        <v>56</v>
      </c>
      <c r="I25" s="6" t="s">
        <v>109</v>
      </c>
      <c r="J25" s="8" t="s">
        <v>109</v>
      </c>
      <c r="K25" s="6" t="s">
        <v>110</v>
      </c>
      <c r="L25" s="10" t="s">
        <v>111</v>
      </c>
      <c r="M25" s="10">
        <v>3387081.0</v>
      </c>
      <c r="N25" s="10">
        <v>22.0</v>
      </c>
      <c r="O25" s="10">
        <v>66.0</v>
      </c>
      <c r="P25" s="10">
        <v>0.0</v>
      </c>
      <c r="Q25" s="10">
        <v>0.0</v>
      </c>
      <c r="R25" s="10">
        <v>3725789.1</v>
      </c>
      <c r="S25" s="10">
        <v>3230452.98</v>
      </c>
      <c r="T25" s="10">
        <v>132000</v>
      </c>
      <c r="U25" s="10">
        <v>0</v>
      </c>
      <c r="V25" s="10">
        <v>220000</v>
      </c>
      <c r="W25" s="10">
        <v>0</v>
      </c>
      <c r="X25" s="10">
        <v>0</v>
      </c>
      <c r="Y25" s="10">
        <v>0</v>
      </c>
      <c r="Z25" s="10">
        <v>69096.45</v>
      </c>
      <c r="AA25" s="10">
        <v>135483.24</v>
      </c>
      <c r="AB25" s="10">
        <v>0.0</v>
      </c>
      <c r="AC25" s="10">
        <v>0</v>
      </c>
      <c r="AD25" s="10">
        <v>0</v>
      </c>
      <c r="AE25" s="10">
        <v>7512821.77</v>
      </c>
      <c r="AF25" s="10" t="s">
        <v>60</v>
      </c>
      <c r="AG25" s="12">
        <v>0.01</v>
      </c>
      <c r="AH25" s="10">
        <v>-75128.0</v>
      </c>
      <c r="AI25" s="10">
        <v>-69096.45</v>
      </c>
      <c r="AJ25" s="10">
        <v>-67741.62</v>
      </c>
      <c r="AK25" s="10">
        <v>-135483.24</v>
      </c>
      <c r="AL25" s="10">
        <v>-33870.81</v>
      </c>
      <c r="AM25" s="10">
        <v>-33870.81</v>
      </c>
      <c r="AN25" s="10">
        <v>0</v>
      </c>
      <c r="AO25" s="10">
        <v>0</v>
      </c>
      <c r="AP25" s="10">
        <v>0</v>
      </c>
      <c r="AQ25" s="10">
        <v>0</v>
      </c>
      <c r="AR25" s="10">
        <f>SUM(AE25,AH25:AQ25)</f>
        <v>7097630.84</v>
      </c>
      <c r="AS25" s="10">
        <v>-30.84</v>
      </c>
      <c r="AT25" s="10">
        <f>SUM(AR25:AS25)</f>
        <v>7097600</v>
      </c>
    </row>
    <row r="26" spans="1:46">
      <c r="A26" s="5">
        <v>19</v>
      </c>
      <c r="B26" s="5">
        <v>2025</v>
      </c>
      <c r="C26" s="5">
        <v>12</v>
      </c>
      <c r="D26" s="5"/>
      <c r="E26" s="5">
        <v>250900026</v>
      </c>
      <c r="F26" s="5" t="s">
        <v>112</v>
      </c>
      <c r="G26" s="5" t="s">
        <v>49</v>
      </c>
      <c r="H26" s="5" t="s">
        <v>50</v>
      </c>
      <c r="I26" s="5" t="s">
        <v>113</v>
      </c>
      <c r="J26" s="7" t="s">
        <v>113</v>
      </c>
      <c r="K26" s="5" t="s">
        <v>81</v>
      </c>
      <c r="L26" s="9" t="s">
        <v>68</v>
      </c>
      <c r="M26" s="9">
        <v>3387081.0</v>
      </c>
      <c r="N26" s="9">
        <v>18.0</v>
      </c>
      <c r="O26" s="9">
        <v>54.0</v>
      </c>
      <c r="P26" s="9">
        <v>0.0</v>
      </c>
      <c r="Q26" s="9">
        <v>0.0</v>
      </c>
      <c r="R26" s="9">
        <v>3048372.9</v>
      </c>
      <c r="S26" s="9">
        <v>2643097.89</v>
      </c>
      <c r="T26" s="9">
        <v>108000</v>
      </c>
      <c r="U26" s="9">
        <v>457256</v>
      </c>
      <c r="V26" s="9">
        <v>180000</v>
      </c>
      <c r="W26" s="9">
        <v>0</v>
      </c>
      <c r="X26" s="9">
        <v>0</v>
      </c>
      <c r="Y26" s="9">
        <v>0</v>
      </c>
      <c r="Z26" s="9">
        <v>69096.45</v>
      </c>
      <c r="AA26" s="9">
        <v>135483.24</v>
      </c>
      <c r="AB26" s="9">
        <v>0.0</v>
      </c>
      <c r="AC26" s="9">
        <v>0</v>
      </c>
      <c r="AD26" s="9">
        <v>0</v>
      </c>
      <c r="AE26" s="9">
        <v>6641306.48</v>
      </c>
      <c r="AF26" s="9" t="s">
        <v>54</v>
      </c>
      <c r="AG26" s="11">
        <v>0.01</v>
      </c>
      <c r="AH26" s="9">
        <v>-66413.0</v>
      </c>
      <c r="AI26" s="9">
        <v>-69096.45</v>
      </c>
      <c r="AJ26" s="9">
        <v>-67741.62</v>
      </c>
      <c r="AK26" s="9">
        <v>-135483.24</v>
      </c>
      <c r="AL26" s="9">
        <v>-33870.81</v>
      </c>
      <c r="AM26" s="9">
        <v>-33870.81</v>
      </c>
      <c r="AN26" s="9">
        <v>0</v>
      </c>
      <c r="AO26" s="9">
        <v>0</v>
      </c>
      <c r="AP26" s="9">
        <v>0</v>
      </c>
      <c r="AQ26" s="9">
        <v>0</v>
      </c>
      <c r="AR26" s="9">
        <f>SUM(AE26,AH26:AQ26)</f>
        <v>6234830.55</v>
      </c>
      <c r="AS26" s="9">
        <v>-30.55</v>
      </c>
      <c r="AT26" s="9">
        <f>SUM(AR26:AS26)</f>
        <v>6234800</v>
      </c>
    </row>
    <row r="27" spans="1:46">
      <c r="A27" s="6">
        <v>20</v>
      </c>
      <c r="B27" s="6">
        <v>2025</v>
      </c>
      <c r="C27" s="6">
        <v>12</v>
      </c>
      <c r="D27" s="6"/>
      <c r="E27" s="6">
        <v>251100045</v>
      </c>
      <c r="F27" s="6" t="s">
        <v>114</v>
      </c>
      <c r="G27" s="6" t="s">
        <v>49</v>
      </c>
      <c r="H27" s="6" t="s">
        <v>50</v>
      </c>
      <c r="I27" s="6" t="s">
        <v>115</v>
      </c>
      <c r="J27" s="8" t="s">
        <v>115</v>
      </c>
      <c r="K27" s="6" t="s">
        <v>58</v>
      </c>
      <c r="L27" s="10" t="s">
        <v>100</v>
      </c>
      <c r="M27" s="10">
        <v>3387081.0</v>
      </c>
      <c r="N27" s="10">
        <v>18.0</v>
      </c>
      <c r="O27" s="10">
        <v>54.0</v>
      </c>
      <c r="P27" s="10">
        <v>0.0</v>
      </c>
      <c r="Q27" s="10">
        <v>0.0</v>
      </c>
      <c r="R27" s="10">
        <v>3048372.9</v>
      </c>
      <c r="S27" s="10">
        <v>2643097.89</v>
      </c>
      <c r="T27" s="10">
        <v>108000</v>
      </c>
      <c r="U27" s="10">
        <v>0</v>
      </c>
      <c r="V27" s="10">
        <v>180000</v>
      </c>
      <c r="W27" s="10">
        <v>0</v>
      </c>
      <c r="X27" s="10">
        <v>0</v>
      </c>
      <c r="Y27" s="10">
        <v>0</v>
      </c>
      <c r="Z27" s="10">
        <v>69096.45</v>
      </c>
      <c r="AA27" s="10">
        <v>135483.24</v>
      </c>
      <c r="AB27" s="10">
        <v>0.0</v>
      </c>
      <c r="AC27" s="10">
        <v>0</v>
      </c>
      <c r="AD27" s="10">
        <v>0</v>
      </c>
      <c r="AE27" s="10">
        <v>6184050.48</v>
      </c>
      <c r="AF27" s="10" t="s">
        <v>54</v>
      </c>
      <c r="AG27" s="12">
        <v>0.0075</v>
      </c>
      <c r="AH27" s="10">
        <v>-46380.0</v>
      </c>
      <c r="AI27" s="10">
        <v>-69096.45</v>
      </c>
      <c r="AJ27" s="10">
        <v>-67741.62</v>
      </c>
      <c r="AK27" s="10">
        <v>-135483.24</v>
      </c>
      <c r="AL27" s="10">
        <v>-33870.81</v>
      </c>
      <c r="AM27" s="10">
        <v>-33870.81</v>
      </c>
      <c r="AN27" s="10">
        <v>0</v>
      </c>
      <c r="AO27" s="10">
        <v>0</v>
      </c>
      <c r="AP27" s="10">
        <v>0</v>
      </c>
      <c r="AQ27" s="10">
        <v>0</v>
      </c>
      <c r="AR27" s="10">
        <f>SUM(AE27,AH27:AQ27)</f>
        <v>5797607.55</v>
      </c>
      <c r="AS27" s="10">
        <v>-7.55</v>
      </c>
      <c r="AT27" s="10">
        <f>SUM(AR27:AS27)</f>
        <v>5797600</v>
      </c>
    </row>
    <row r="28" spans="1:46">
      <c r="A28" s="5">
        <v>21</v>
      </c>
      <c r="B28" s="5">
        <v>2025</v>
      </c>
      <c r="C28" s="5">
        <v>12</v>
      </c>
      <c r="D28" s="5"/>
      <c r="E28" s="5">
        <v>251100088</v>
      </c>
      <c r="F28" s="5" t="s">
        <v>116</v>
      </c>
      <c r="G28" s="5" t="s">
        <v>49</v>
      </c>
      <c r="H28" s="5" t="s">
        <v>91</v>
      </c>
      <c r="I28" s="5" t="s">
        <v>117</v>
      </c>
      <c r="J28" s="7" t="s">
        <v>117</v>
      </c>
      <c r="K28" s="5" t="s">
        <v>110</v>
      </c>
      <c r="L28" s="9" t="s">
        <v>100</v>
      </c>
      <c r="M28" s="9">
        <v>3387081.0</v>
      </c>
      <c r="N28" s="9">
        <v>23.0</v>
      </c>
      <c r="O28" s="9">
        <v>69.0</v>
      </c>
      <c r="P28" s="9">
        <v>0.0</v>
      </c>
      <c r="Q28" s="9">
        <v>0.0</v>
      </c>
      <c r="R28" s="9">
        <v>3895143.15</v>
      </c>
      <c r="S28" s="9">
        <v>3377291.75</v>
      </c>
      <c r="T28" s="9">
        <v>138000</v>
      </c>
      <c r="U28" s="9">
        <v>0</v>
      </c>
      <c r="V28" s="9">
        <v>230000</v>
      </c>
      <c r="W28" s="9">
        <v>0</v>
      </c>
      <c r="X28" s="9">
        <v>0</v>
      </c>
      <c r="Y28" s="9">
        <v>0</v>
      </c>
      <c r="Z28" s="9">
        <v>69096.45</v>
      </c>
      <c r="AA28" s="9">
        <v>135483.24</v>
      </c>
      <c r="AB28" s="9">
        <v>0.0</v>
      </c>
      <c r="AC28" s="9">
        <v>0</v>
      </c>
      <c r="AD28" s="9">
        <v>0</v>
      </c>
      <c r="AE28" s="9">
        <v>7845014.59</v>
      </c>
      <c r="AF28" s="9" t="s">
        <v>93</v>
      </c>
      <c r="AG28" s="11">
        <v>0.01</v>
      </c>
      <c r="AH28" s="9">
        <v>-78450.0</v>
      </c>
      <c r="AI28" s="9">
        <v>-69096.45</v>
      </c>
      <c r="AJ28" s="9">
        <v>-67741.62</v>
      </c>
      <c r="AK28" s="9">
        <v>-135483.24</v>
      </c>
      <c r="AL28" s="9">
        <v>-33870.81</v>
      </c>
      <c r="AM28" s="9">
        <v>-33870.81</v>
      </c>
      <c r="AN28" s="9">
        <v>0</v>
      </c>
      <c r="AO28" s="9">
        <v>0</v>
      </c>
      <c r="AP28" s="9">
        <v>0</v>
      </c>
      <c r="AQ28" s="9">
        <v>0</v>
      </c>
      <c r="AR28" s="9">
        <f>SUM(AE28,AH28:AQ28)</f>
        <v>7426501.66</v>
      </c>
      <c r="AS28" s="9">
        <v>-1.66</v>
      </c>
      <c r="AT28" s="9">
        <f>SUM(AR28:AS28)</f>
        <v>7426500</v>
      </c>
    </row>
    <row r="29" spans="1:46">
      <c r="A29" s="6">
        <v>22</v>
      </c>
      <c r="B29" s="6">
        <v>2025</v>
      </c>
      <c r="C29" s="6">
        <v>12</v>
      </c>
      <c r="D29" s="6"/>
      <c r="E29" s="6">
        <v>251100078</v>
      </c>
      <c r="F29" s="6" t="s">
        <v>118</v>
      </c>
      <c r="G29" s="6" t="s">
        <v>49</v>
      </c>
      <c r="H29" s="6" t="s">
        <v>50</v>
      </c>
      <c r="I29" s="6" t="s">
        <v>119</v>
      </c>
      <c r="J29" s="8" t="s">
        <v>119</v>
      </c>
      <c r="K29" s="6" t="s">
        <v>81</v>
      </c>
      <c r="L29" s="10" t="s">
        <v>59</v>
      </c>
      <c r="M29" s="10">
        <v>3387081.0</v>
      </c>
      <c r="N29" s="10">
        <v>2.0</v>
      </c>
      <c r="O29" s="10">
        <v>6.0</v>
      </c>
      <c r="P29" s="10">
        <v>0.0</v>
      </c>
      <c r="Q29" s="10">
        <v>0.0</v>
      </c>
      <c r="R29" s="10">
        <v>338708.1</v>
      </c>
      <c r="S29" s="10">
        <v>293677.54</v>
      </c>
      <c r="T29" s="10">
        <v>12000</v>
      </c>
      <c r="U29" s="10">
        <v>50806</v>
      </c>
      <c r="V29" s="10">
        <v>20000</v>
      </c>
      <c r="W29" s="10">
        <v>0</v>
      </c>
      <c r="X29" s="10">
        <v>0</v>
      </c>
      <c r="Y29" s="10">
        <v>0</v>
      </c>
      <c r="Z29" s="10">
        <v>69096.45</v>
      </c>
      <c r="AA29" s="10">
        <v>135483.24</v>
      </c>
      <c r="AB29" s="10">
        <v>0.0</v>
      </c>
      <c r="AC29" s="10">
        <v>0</v>
      </c>
      <c r="AD29" s="10">
        <v>0</v>
      </c>
      <c r="AE29" s="10">
        <v>919771.33</v>
      </c>
      <c r="AF29" s="10" t="s">
        <v>54</v>
      </c>
      <c r="AG29" s="12">
        <v>0.0</v>
      </c>
      <c r="AH29" s="10">
        <v>0.0</v>
      </c>
      <c r="AI29" s="10">
        <v>-69096.45</v>
      </c>
      <c r="AJ29" s="10">
        <v>-67741.62</v>
      </c>
      <c r="AK29" s="10">
        <v>-135483.24</v>
      </c>
      <c r="AL29" s="10">
        <v>-33870.81</v>
      </c>
      <c r="AM29" s="10">
        <v>-33870.81</v>
      </c>
      <c r="AN29" s="10">
        <v>0</v>
      </c>
      <c r="AO29" s="10">
        <v>0</v>
      </c>
      <c r="AP29" s="10">
        <v>0</v>
      </c>
      <c r="AQ29" s="10">
        <v>0</v>
      </c>
      <c r="AR29" s="10">
        <f>SUM(AE29,AH29:AQ29)</f>
        <v>579708.4</v>
      </c>
      <c r="AS29" s="10">
        <v>-8.4</v>
      </c>
      <c r="AT29" s="10">
        <f>SUM(AR29:AS29)</f>
        <v>579700</v>
      </c>
    </row>
    <row r="30" spans="1:46">
      <c r="A30" s="5">
        <v>23</v>
      </c>
      <c r="B30" s="5">
        <v>2025</v>
      </c>
      <c r="C30" s="5">
        <v>12</v>
      </c>
      <c r="D30" s="5"/>
      <c r="E30" s="5">
        <v>251100029</v>
      </c>
      <c r="F30" s="5" t="s">
        <v>120</v>
      </c>
      <c r="G30" s="5" t="s">
        <v>49</v>
      </c>
      <c r="H30" s="5" t="s">
        <v>83</v>
      </c>
      <c r="I30" s="5" t="s">
        <v>121</v>
      </c>
      <c r="J30" s="7" t="s">
        <v>121</v>
      </c>
      <c r="K30" s="5" t="s">
        <v>85</v>
      </c>
      <c r="L30" s="9" t="s">
        <v>122</v>
      </c>
      <c r="M30" s="9">
        <v>3387081.0</v>
      </c>
      <c r="N30" s="9">
        <v>18.0</v>
      </c>
      <c r="O30" s="9">
        <v>54.0</v>
      </c>
      <c r="P30" s="9">
        <v>0.0</v>
      </c>
      <c r="Q30" s="9">
        <v>0.0</v>
      </c>
      <c r="R30" s="9">
        <v>3048372.9</v>
      </c>
      <c r="S30" s="9">
        <v>2643097.89</v>
      </c>
      <c r="T30" s="9">
        <v>108000</v>
      </c>
      <c r="U30" s="9">
        <v>127016</v>
      </c>
      <c r="V30" s="9">
        <v>180000</v>
      </c>
      <c r="W30" s="9">
        <v>0</v>
      </c>
      <c r="X30" s="9">
        <v>0</v>
      </c>
      <c r="Y30" s="9">
        <v>0</v>
      </c>
      <c r="Z30" s="9">
        <v>69096.45</v>
      </c>
      <c r="AA30" s="9">
        <v>135483.24</v>
      </c>
      <c r="AB30" s="9">
        <v>0.0</v>
      </c>
      <c r="AC30" s="9">
        <v>0</v>
      </c>
      <c r="AD30" s="9">
        <v>0</v>
      </c>
      <c r="AE30" s="9">
        <v>6311066.48</v>
      </c>
      <c r="AF30" s="9" t="s">
        <v>60</v>
      </c>
      <c r="AG30" s="11">
        <v>0.0025</v>
      </c>
      <c r="AH30" s="9">
        <v>-15777.0</v>
      </c>
      <c r="AI30" s="9">
        <v>-69096.45</v>
      </c>
      <c r="AJ30" s="9">
        <v>-67741.62</v>
      </c>
      <c r="AK30" s="9">
        <v>-135483.24</v>
      </c>
      <c r="AL30" s="9">
        <v>-33870.81</v>
      </c>
      <c r="AM30" s="9">
        <v>-33870.81</v>
      </c>
      <c r="AN30" s="9">
        <v>0</v>
      </c>
      <c r="AO30" s="9">
        <v>0</v>
      </c>
      <c r="AP30" s="9">
        <v>0</v>
      </c>
      <c r="AQ30" s="9">
        <v>0</v>
      </c>
      <c r="AR30" s="9">
        <f>SUM(AE30,AH30:AQ30)</f>
        <v>5955226.55</v>
      </c>
      <c r="AS30" s="9">
        <v>-26.55</v>
      </c>
      <c r="AT30" s="9">
        <f>SUM(AR30:AS30)</f>
        <v>5955200</v>
      </c>
    </row>
    <row r="31" spans="1:46">
      <c r="A31" s="6">
        <v>24</v>
      </c>
      <c r="B31" s="6">
        <v>2025</v>
      </c>
      <c r="C31" s="6">
        <v>12</v>
      </c>
      <c r="D31" s="6"/>
      <c r="E31" s="6">
        <v>251100030</v>
      </c>
      <c r="F31" s="6" t="s">
        <v>123</v>
      </c>
      <c r="G31" s="6" t="s">
        <v>49</v>
      </c>
      <c r="H31" s="6" t="s">
        <v>62</v>
      </c>
      <c r="I31" s="6" t="s">
        <v>124</v>
      </c>
      <c r="J31" s="8" t="s">
        <v>124</v>
      </c>
      <c r="K31" s="6" t="s">
        <v>125</v>
      </c>
      <c r="L31" s="10" t="s">
        <v>126</v>
      </c>
      <c r="M31" s="10">
        <v>3387081.0</v>
      </c>
      <c r="N31" s="10">
        <v>18.0</v>
      </c>
      <c r="O31" s="10">
        <v>54.0</v>
      </c>
      <c r="P31" s="10">
        <v>0.0</v>
      </c>
      <c r="Q31" s="10">
        <v>0.0</v>
      </c>
      <c r="R31" s="10">
        <v>3048372.9</v>
      </c>
      <c r="S31" s="10">
        <v>2643097.89</v>
      </c>
      <c r="T31" s="10">
        <v>108000</v>
      </c>
      <c r="U31" s="10">
        <v>406450</v>
      </c>
      <c r="V31" s="10">
        <v>180000</v>
      </c>
      <c r="W31" s="10">
        <v>0</v>
      </c>
      <c r="X31" s="10">
        <v>0</v>
      </c>
      <c r="Y31" s="10">
        <v>0</v>
      </c>
      <c r="Z31" s="10">
        <v>69096.45</v>
      </c>
      <c r="AA31" s="10">
        <v>135483.24</v>
      </c>
      <c r="AB31" s="10">
        <v>0.0</v>
      </c>
      <c r="AC31" s="10">
        <v>0</v>
      </c>
      <c r="AD31" s="10">
        <v>0</v>
      </c>
      <c r="AE31" s="10">
        <v>6590500.48</v>
      </c>
      <c r="AF31" s="10" t="s">
        <v>54</v>
      </c>
      <c r="AG31" s="12">
        <v>0.01</v>
      </c>
      <c r="AH31" s="10">
        <v>-65905.0</v>
      </c>
      <c r="AI31" s="10">
        <v>-69096.45</v>
      </c>
      <c r="AJ31" s="10">
        <v>-67741.62</v>
      </c>
      <c r="AK31" s="10">
        <v>-135483.24</v>
      </c>
      <c r="AL31" s="10">
        <v>-33870.81</v>
      </c>
      <c r="AM31" s="10">
        <v>-33870.81</v>
      </c>
      <c r="AN31" s="10">
        <v>0</v>
      </c>
      <c r="AO31" s="10">
        <v>0</v>
      </c>
      <c r="AP31" s="10">
        <v>0</v>
      </c>
      <c r="AQ31" s="10">
        <v>0</v>
      </c>
      <c r="AR31" s="10">
        <f>SUM(AE31,AH31:AQ31)</f>
        <v>6184532.55</v>
      </c>
      <c r="AS31" s="10">
        <v>-32.55</v>
      </c>
      <c r="AT31" s="10">
        <f>SUM(AR31:AS31)</f>
        <v>6184500</v>
      </c>
    </row>
    <row r="32" spans="1:46">
      <c r="A32" s="5">
        <v>25</v>
      </c>
      <c r="B32" s="5">
        <v>2025</v>
      </c>
      <c r="C32" s="5">
        <v>12</v>
      </c>
      <c r="D32" s="5"/>
      <c r="E32" s="5">
        <v>251100057</v>
      </c>
      <c r="F32" s="5" t="s">
        <v>127</v>
      </c>
      <c r="G32" s="5" t="s">
        <v>49</v>
      </c>
      <c r="H32" s="5" t="s">
        <v>50</v>
      </c>
      <c r="I32" s="5" t="s">
        <v>128</v>
      </c>
      <c r="J32" s="7" t="s">
        <v>128</v>
      </c>
      <c r="K32" s="5" t="s">
        <v>67</v>
      </c>
      <c r="L32" s="9" t="s">
        <v>68</v>
      </c>
      <c r="M32" s="9">
        <v>3387081.0</v>
      </c>
      <c r="N32" s="9">
        <v>6.0</v>
      </c>
      <c r="O32" s="9">
        <v>18.0</v>
      </c>
      <c r="P32" s="9">
        <v>0.0</v>
      </c>
      <c r="Q32" s="9">
        <v>0.0</v>
      </c>
      <c r="R32" s="9">
        <v>1016124.3</v>
      </c>
      <c r="S32" s="9">
        <v>881032.63</v>
      </c>
      <c r="T32" s="9">
        <v>36000</v>
      </c>
      <c r="U32" s="9">
        <v>152419</v>
      </c>
      <c r="V32" s="9">
        <v>60000</v>
      </c>
      <c r="W32" s="9">
        <v>0</v>
      </c>
      <c r="X32" s="9">
        <v>0</v>
      </c>
      <c r="Y32" s="9">
        <v>0</v>
      </c>
      <c r="Z32" s="9">
        <v>69096.45</v>
      </c>
      <c r="AA32" s="9">
        <v>135483.24</v>
      </c>
      <c r="AB32" s="9">
        <v>0.0</v>
      </c>
      <c r="AC32" s="9">
        <v>0</v>
      </c>
      <c r="AD32" s="9">
        <v>0</v>
      </c>
      <c r="AE32" s="9">
        <v>2350155.62</v>
      </c>
      <c r="AF32" s="9" t="s">
        <v>54</v>
      </c>
      <c r="AG32" s="11">
        <v>0.0</v>
      </c>
      <c r="AH32" s="9">
        <v>0.0</v>
      </c>
      <c r="AI32" s="9">
        <v>-69096.45</v>
      </c>
      <c r="AJ32" s="9">
        <v>-67741.62</v>
      </c>
      <c r="AK32" s="9">
        <v>-135483.24</v>
      </c>
      <c r="AL32" s="9">
        <v>-33870.81</v>
      </c>
      <c r="AM32" s="9">
        <v>-33870.81</v>
      </c>
      <c r="AN32" s="9">
        <v>0</v>
      </c>
      <c r="AO32" s="9">
        <v>0</v>
      </c>
      <c r="AP32" s="9">
        <v>0</v>
      </c>
      <c r="AQ32" s="9">
        <v>0</v>
      </c>
      <c r="AR32" s="9">
        <f>SUM(AE32,AH32:AQ32)</f>
        <v>2010092.69</v>
      </c>
      <c r="AS32" s="9">
        <v>7.31</v>
      </c>
      <c r="AT32" s="9">
        <f>SUM(AR32:AS32)</f>
        <v>2010100</v>
      </c>
    </row>
    <row r="33" spans="1:46">
      <c r="A33" s="6">
        <v>26</v>
      </c>
      <c r="B33" s="6">
        <v>2025</v>
      </c>
      <c r="C33" s="6">
        <v>12</v>
      </c>
      <c r="D33" s="6"/>
      <c r="E33" s="6">
        <v>251100040</v>
      </c>
      <c r="F33" s="6" t="s">
        <v>129</v>
      </c>
      <c r="G33" s="6" t="s">
        <v>49</v>
      </c>
      <c r="H33" s="6" t="s">
        <v>91</v>
      </c>
      <c r="I33" s="6" t="s">
        <v>130</v>
      </c>
      <c r="J33" s="8" t="s">
        <v>130</v>
      </c>
      <c r="K33" s="6" t="s">
        <v>58</v>
      </c>
      <c r="L33" s="10" t="s">
        <v>59</v>
      </c>
      <c r="M33" s="10">
        <v>3387081.0</v>
      </c>
      <c r="N33" s="10">
        <v>8.0</v>
      </c>
      <c r="O33" s="10">
        <v>24.0</v>
      </c>
      <c r="P33" s="10">
        <v>0.0</v>
      </c>
      <c r="Q33" s="10">
        <v>0.0</v>
      </c>
      <c r="R33" s="10">
        <v>1354832.4</v>
      </c>
      <c r="S33" s="10">
        <v>1174710.17</v>
      </c>
      <c r="T33" s="10">
        <v>48000</v>
      </c>
      <c r="U33" s="10">
        <v>203225</v>
      </c>
      <c r="V33" s="10">
        <v>80000</v>
      </c>
      <c r="W33" s="10">
        <v>0</v>
      </c>
      <c r="X33" s="10">
        <v>0</v>
      </c>
      <c r="Y33" s="10">
        <v>0</v>
      </c>
      <c r="Z33" s="10">
        <v>69096.45</v>
      </c>
      <c r="AA33" s="10">
        <v>135483.24</v>
      </c>
      <c r="AB33" s="10">
        <v>0.0</v>
      </c>
      <c r="AC33" s="10">
        <v>0</v>
      </c>
      <c r="AD33" s="10">
        <v>0</v>
      </c>
      <c r="AE33" s="10">
        <v>3065347.26</v>
      </c>
      <c r="AF33" s="10" t="s">
        <v>93</v>
      </c>
      <c r="AG33" s="12">
        <v>0.0</v>
      </c>
      <c r="AH33" s="10">
        <v>0.0</v>
      </c>
      <c r="AI33" s="10">
        <v>-69096.45</v>
      </c>
      <c r="AJ33" s="10">
        <v>-67741.62</v>
      </c>
      <c r="AK33" s="10">
        <v>-135483.24</v>
      </c>
      <c r="AL33" s="10">
        <v>-33870.81</v>
      </c>
      <c r="AM33" s="10">
        <v>-33870.81</v>
      </c>
      <c r="AN33" s="10">
        <v>0</v>
      </c>
      <c r="AO33" s="10">
        <v>0</v>
      </c>
      <c r="AP33" s="10">
        <v>0</v>
      </c>
      <c r="AQ33" s="10">
        <v>0</v>
      </c>
      <c r="AR33" s="10">
        <f>SUM(AE33,AH33:AQ33)</f>
        <v>2725284.33</v>
      </c>
      <c r="AS33" s="10">
        <v>15.67</v>
      </c>
      <c r="AT33" s="10">
        <f>SUM(AR33:AS33)</f>
        <v>2725300</v>
      </c>
    </row>
    <row r="34" spans="1:46">
      <c r="A34" s="5">
        <v>27</v>
      </c>
      <c r="B34" s="5">
        <v>2025</v>
      </c>
      <c r="C34" s="5">
        <v>12</v>
      </c>
      <c r="D34" s="5"/>
      <c r="E34" s="5">
        <v>251100026</v>
      </c>
      <c r="F34" s="5" t="s">
        <v>131</v>
      </c>
      <c r="G34" s="5" t="s">
        <v>49</v>
      </c>
      <c r="H34" s="5" t="s">
        <v>83</v>
      </c>
      <c r="I34" s="5" t="s">
        <v>132</v>
      </c>
      <c r="J34" s="7" t="s">
        <v>132</v>
      </c>
      <c r="K34" s="5" t="s">
        <v>85</v>
      </c>
      <c r="L34" s="9" t="s">
        <v>133</v>
      </c>
      <c r="M34" s="9">
        <v>3387081.0</v>
      </c>
      <c r="N34" s="9">
        <v>25.0</v>
      </c>
      <c r="O34" s="9">
        <v>75.0</v>
      </c>
      <c r="P34" s="9">
        <v>0.0</v>
      </c>
      <c r="Q34" s="9">
        <v>0.0</v>
      </c>
      <c r="R34" s="9">
        <v>4233851.25</v>
      </c>
      <c r="S34" s="9">
        <v>3670969.29</v>
      </c>
      <c r="T34" s="9">
        <v>150000</v>
      </c>
      <c r="U34" s="9">
        <v>228628</v>
      </c>
      <c r="V34" s="9">
        <v>250000</v>
      </c>
      <c r="W34" s="9">
        <v>0</v>
      </c>
      <c r="X34" s="9">
        <v>0</v>
      </c>
      <c r="Y34" s="9">
        <v>0</v>
      </c>
      <c r="Z34" s="9">
        <v>69096.45</v>
      </c>
      <c r="AA34" s="9">
        <v>135483.24</v>
      </c>
      <c r="AB34" s="9">
        <v>0.0</v>
      </c>
      <c r="AC34" s="9">
        <v>0</v>
      </c>
      <c r="AD34" s="9">
        <v>0</v>
      </c>
      <c r="AE34" s="9">
        <v>8738028.23</v>
      </c>
      <c r="AF34" s="9" t="s">
        <v>60</v>
      </c>
      <c r="AG34" s="11">
        <v>0.01</v>
      </c>
      <c r="AH34" s="9">
        <v>-87380.0</v>
      </c>
      <c r="AI34" s="9">
        <v>-69096.45</v>
      </c>
      <c r="AJ34" s="9">
        <v>-67741.62</v>
      </c>
      <c r="AK34" s="9">
        <v>-135483.24</v>
      </c>
      <c r="AL34" s="9">
        <v>-33870.81</v>
      </c>
      <c r="AM34" s="9">
        <v>-33870.81</v>
      </c>
      <c r="AN34" s="9">
        <v>0</v>
      </c>
      <c r="AO34" s="9">
        <v>0</v>
      </c>
      <c r="AP34" s="9">
        <v>0</v>
      </c>
      <c r="AQ34" s="9">
        <v>0</v>
      </c>
      <c r="AR34" s="9">
        <f>SUM(AE34,AH34:AQ34)</f>
        <v>8310585.3</v>
      </c>
      <c r="AS34" s="9">
        <v>14.7</v>
      </c>
      <c r="AT34" s="9">
        <f>SUM(AR34:AS34)</f>
        <v>8310600</v>
      </c>
    </row>
    <row r="35" spans="1:46">
      <c r="A35" s="6">
        <v>28</v>
      </c>
      <c r="B35" s="6">
        <v>2025</v>
      </c>
      <c r="C35" s="6">
        <v>12</v>
      </c>
      <c r="D35" s="6"/>
      <c r="E35" s="6">
        <v>251100022</v>
      </c>
      <c r="F35" s="6" t="s">
        <v>134</v>
      </c>
      <c r="G35" s="6" t="s">
        <v>49</v>
      </c>
      <c r="H35" s="6" t="s">
        <v>62</v>
      </c>
      <c r="I35" s="6" t="s">
        <v>135</v>
      </c>
      <c r="J35" s="8" t="s">
        <v>135</v>
      </c>
      <c r="K35" s="6" t="s">
        <v>85</v>
      </c>
      <c r="L35" s="10" t="s">
        <v>100</v>
      </c>
      <c r="M35" s="10">
        <v>3387081.0</v>
      </c>
      <c r="N35" s="10">
        <v>20.0</v>
      </c>
      <c r="O35" s="10">
        <v>60.0</v>
      </c>
      <c r="P35" s="10">
        <v>0.0</v>
      </c>
      <c r="Q35" s="10">
        <v>0.0</v>
      </c>
      <c r="R35" s="10">
        <v>3387081.0</v>
      </c>
      <c r="S35" s="10">
        <v>2936775.44</v>
      </c>
      <c r="T35" s="10">
        <v>120000</v>
      </c>
      <c r="U35" s="10">
        <v>482659</v>
      </c>
      <c r="V35" s="10">
        <v>200000</v>
      </c>
      <c r="W35" s="10">
        <v>0</v>
      </c>
      <c r="X35" s="10">
        <v>0</v>
      </c>
      <c r="Y35" s="10">
        <v>0</v>
      </c>
      <c r="Z35" s="10">
        <v>69096.45</v>
      </c>
      <c r="AA35" s="10">
        <v>135483.24</v>
      </c>
      <c r="AB35" s="10">
        <v>0.0</v>
      </c>
      <c r="AC35" s="10">
        <v>0</v>
      </c>
      <c r="AD35" s="10">
        <v>0</v>
      </c>
      <c r="AE35" s="10">
        <v>7331095.13</v>
      </c>
      <c r="AF35" s="10" t="s">
        <v>54</v>
      </c>
      <c r="AG35" s="12">
        <v>0.0125</v>
      </c>
      <c r="AH35" s="10">
        <v>-91638.0</v>
      </c>
      <c r="AI35" s="10">
        <v>-69096.45</v>
      </c>
      <c r="AJ35" s="10">
        <v>-67741.62</v>
      </c>
      <c r="AK35" s="10">
        <v>-135483.24</v>
      </c>
      <c r="AL35" s="10">
        <v>-33870.81</v>
      </c>
      <c r="AM35" s="10">
        <v>-33870.81</v>
      </c>
      <c r="AN35" s="10">
        <v>0</v>
      </c>
      <c r="AO35" s="10">
        <v>0</v>
      </c>
      <c r="AP35" s="10">
        <v>0</v>
      </c>
      <c r="AQ35" s="10">
        <v>0</v>
      </c>
      <c r="AR35" s="10">
        <f>SUM(AE35,AH35:AQ35)</f>
        <v>6899394.2</v>
      </c>
      <c r="AS35" s="10">
        <v>5.8</v>
      </c>
      <c r="AT35" s="10">
        <f>SUM(AR35:AS35)</f>
        <v>6899400</v>
      </c>
    </row>
    <row r="36" spans="1:46">
      <c r="A36" s="5">
        <v>29</v>
      </c>
      <c r="B36" s="5">
        <v>2025</v>
      </c>
      <c r="C36" s="5">
        <v>12</v>
      </c>
      <c r="D36" s="5"/>
      <c r="E36" s="5">
        <v>251100079</v>
      </c>
      <c r="F36" s="5" t="s">
        <v>136</v>
      </c>
      <c r="G36" s="5" t="s">
        <v>49</v>
      </c>
      <c r="H36" s="5" t="s">
        <v>91</v>
      </c>
      <c r="I36" s="5" t="s">
        <v>137</v>
      </c>
      <c r="J36" s="7" t="s">
        <v>137</v>
      </c>
      <c r="K36" s="5" t="s">
        <v>52</v>
      </c>
      <c r="L36" s="9" t="s">
        <v>138</v>
      </c>
      <c r="M36" s="9">
        <v>3387081.0</v>
      </c>
      <c r="N36" s="9">
        <v>11.0</v>
      </c>
      <c r="O36" s="9">
        <v>33.0</v>
      </c>
      <c r="P36" s="9">
        <v>0.0</v>
      </c>
      <c r="Q36" s="9">
        <v>0.0</v>
      </c>
      <c r="R36" s="9">
        <v>1862894.55</v>
      </c>
      <c r="S36" s="9">
        <v>1615226.49</v>
      </c>
      <c r="T36" s="9">
        <v>66000</v>
      </c>
      <c r="U36" s="9">
        <v>76209</v>
      </c>
      <c r="V36" s="9">
        <v>110000</v>
      </c>
      <c r="W36" s="9">
        <v>0</v>
      </c>
      <c r="X36" s="9">
        <v>0</v>
      </c>
      <c r="Y36" s="9">
        <v>0</v>
      </c>
      <c r="Z36" s="9">
        <v>69096.45</v>
      </c>
      <c r="AA36" s="9">
        <v>135483.24</v>
      </c>
      <c r="AB36" s="9">
        <v>0.0</v>
      </c>
      <c r="AC36" s="9">
        <v>0</v>
      </c>
      <c r="AD36" s="9">
        <v>0</v>
      </c>
      <c r="AE36" s="9">
        <v>3934909.73</v>
      </c>
      <c r="AF36" s="9" t="s">
        <v>93</v>
      </c>
      <c r="AG36" s="11">
        <v>0.0</v>
      </c>
      <c r="AH36" s="9">
        <v>0.0</v>
      </c>
      <c r="AI36" s="9">
        <v>-69096.45</v>
      </c>
      <c r="AJ36" s="9">
        <v>-67741.62</v>
      </c>
      <c r="AK36" s="9">
        <v>-135483.24</v>
      </c>
      <c r="AL36" s="9">
        <v>-33870.81</v>
      </c>
      <c r="AM36" s="9">
        <v>-33870.81</v>
      </c>
      <c r="AN36" s="9">
        <v>0</v>
      </c>
      <c r="AO36" s="9">
        <v>0</v>
      </c>
      <c r="AP36" s="9">
        <v>0</v>
      </c>
      <c r="AQ36" s="9">
        <v>0</v>
      </c>
      <c r="AR36" s="9">
        <f>SUM(AE36,AH36:AQ36)</f>
        <v>3594846.8</v>
      </c>
      <c r="AS36" s="9">
        <v>-46.8</v>
      </c>
      <c r="AT36" s="9">
        <f>SUM(AR36:AS36)</f>
        <v>3594800</v>
      </c>
    </row>
    <row r="37" spans="1:46">
      <c r="A37" s="6">
        <v>30</v>
      </c>
      <c r="B37" s="6">
        <v>2025</v>
      </c>
      <c r="C37" s="6">
        <v>12</v>
      </c>
      <c r="D37" s="6"/>
      <c r="E37" s="6">
        <v>251100037</v>
      </c>
      <c r="F37" s="6" t="s">
        <v>139</v>
      </c>
      <c r="G37" s="6" t="s">
        <v>49</v>
      </c>
      <c r="H37" s="6" t="s">
        <v>56</v>
      </c>
      <c r="I37" s="6" t="s">
        <v>140</v>
      </c>
      <c r="J37" s="8" t="s">
        <v>140</v>
      </c>
      <c r="K37" s="6" t="s">
        <v>141</v>
      </c>
      <c r="L37" s="10" t="s">
        <v>111</v>
      </c>
      <c r="M37" s="10">
        <v>3387081.0</v>
      </c>
      <c r="N37" s="10">
        <v>23.0</v>
      </c>
      <c r="O37" s="10">
        <v>69.0</v>
      </c>
      <c r="P37" s="10">
        <v>0.0</v>
      </c>
      <c r="Q37" s="10">
        <v>0.0</v>
      </c>
      <c r="R37" s="10">
        <v>3895143.15</v>
      </c>
      <c r="S37" s="10">
        <v>3377291.75</v>
      </c>
      <c r="T37" s="10">
        <v>138000</v>
      </c>
      <c r="U37" s="10">
        <v>0</v>
      </c>
      <c r="V37" s="10">
        <v>230000</v>
      </c>
      <c r="W37" s="10">
        <v>0</v>
      </c>
      <c r="X37" s="10">
        <v>0</v>
      </c>
      <c r="Y37" s="10">
        <v>0</v>
      </c>
      <c r="Z37" s="10">
        <v>69096.45</v>
      </c>
      <c r="AA37" s="10">
        <v>135483.24</v>
      </c>
      <c r="AB37" s="10">
        <v>0.0</v>
      </c>
      <c r="AC37" s="10">
        <v>0</v>
      </c>
      <c r="AD37" s="10">
        <v>0</v>
      </c>
      <c r="AE37" s="10">
        <v>7845014.59</v>
      </c>
      <c r="AF37" s="10" t="s">
        <v>60</v>
      </c>
      <c r="AG37" s="12">
        <v>0.01</v>
      </c>
      <c r="AH37" s="10">
        <v>-78450.0</v>
      </c>
      <c r="AI37" s="10">
        <v>-69096.45</v>
      </c>
      <c r="AJ37" s="10">
        <v>-67741.62</v>
      </c>
      <c r="AK37" s="10">
        <v>-135483.24</v>
      </c>
      <c r="AL37" s="10">
        <v>-33870.81</v>
      </c>
      <c r="AM37" s="10">
        <v>-33870.81</v>
      </c>
      <c r="AN37" s="10">
        <v>0</v>
      </c>
      <c r="AO37" s="10">
        <v>0</v>
      </c>
      <c r="AP37" s="10">
        <v>0</v>
      </c>
      <c r="AQ37" s="10">
        <v>0</v>
      </c>
      <c r="AR37" s="10">
        <f>SUM(AE37,AH37:AQ37)</f>
        <v>7426501.66</v>
      </c>
      <c r="AS37" s="10">
        <v>-1.66</v>
      </c>
      <c r="AT37" s="10">
        <f>SUM(AR37:AS37)</f>
        <v>7426500</v>
      </c>
    </row>
    <row r="38" spans="1:46">
      <c r="A38" s="5">
        <v>31</v>
      </c>
      <c r="B38" s="5">
        <v>2025</v>
      </c>
      <c r="C38" s="5">
        <v>12</v>
      </c>
      <c r="D38" s="5"/>
      <c r="E38" s="5">
        <v>251100054</v>
      </c>
      <c r="F38" s="5" t="s">
        <v>142</v>
      </c>
      <c r="G38" s="5" t="s">
        <v>49</v>
      </c>
      <c r="H38" s="5" t="s">
        <v>50</v>
      </c>
      <c r="I38" s="5" t="s">
        <v>143</v>
      </c>
      <c r="J38" s="7" t="s">
        <v>143</v>
      </c>
      <c r="K38" s="5" t="s">
        <v>58</v>
      </c>
      <c r="L38" s="9" t="s">
        <v>133</v>
      </c>
      <c r="M38" s="9">
        <v>3387081.0</v>
      </c>
      <c r="N38" s="9">
        <v>9.0</v>
      </c>
      <c r="O38" s="9">
        <v>27.0</v>
      </c>
      <c r="P38" s="9">
        <v>0.0</v>
      </c>
      <c r="Q38" s="9">
        <v>0.0</v>
      </c>
      <c r="R38" s="9">
        <v>1524186.45</v>
      </c>
      <c r="S38" s="9">
        <v>1321548.95</v>
      </c>
      <c r="T38" s="9">
        <v>54000</v>
      </c>
      <c r="U38" s="9">
        <v>0</v>
      </c>
      <c r="V38" s="9">
        <v>90000</v>
      </c>
      <c r="W38" s="9">
        <v>0</v>
      </c>
      <c r="X38" s="9">
        <v>0</v>
      </c>
      <c r="Y38" s="9">
        <v>0</v>
      </c>
      <c r="Z38" s="9">
        <v>69096.45</v>
      </c>
      <c r="AA38" s="9">
        <v>135483.24</v>
      </c>
      <c r="AB38" s="9">
        <v>0.0</v>
      </c>
      <c r="AC38" s="9">
        <v>0</v>
      </c>
      <c r="AD38" s="9">
        <v>0</v>
      </c>
      <c r="AE38" s="9">
        <v>3194315.09</v>
      </c>
      <c r="AF38" s="9" t="s">
        <v>54</v>
      </c>
      <c r="AG38" s="11">
        <v>0.0</v>
      </c>
      <c r="AH38" s="9">
        <v>0.0</v>
      </c>
      <c r="AI38" s="9">
        <v>-69096.45</v>
      </c>
      <c r="AJ38" s="9">
        <v>-67741.62</v>
      </c>
      <c r="AK38" s="9">
        <v>-135483.24</v>
      </c>
      <c r="AL38" s="9">
        <v>-33870.81</v>
      </c>
      <c r="AM38" s="9">
        <v>-33870.81</v>
      </c>
      <c r="AN38" s="9">
        <v>0</v>
      </c>
      <c r="AO38" s="9">
        <v>0</v>
      </c>
      <c r="AP38" s="9">
        <v>0</v>
      </c>
      <c r="AQ38" s="9">
        <v>0</v>
      </c>
      <c r="AR38" s="9">
        <f>SUM(AE38,AH38:AQ38)</f>
        <v>2854252.16</v>
      </c>
      <c r="AS38" s="9">
        <v>47.84</v>
      </c>
      <c r="AT38" s="9">
        <f>SUM(AR38:AS38)</f>
        <v>2854300</v>
      </c>
    </row>
    <row r="39" spans="1:46">
      <c r="A39" s="6">
        <v>32</v>
      </c>
      <c r="B39" s="6">
        <v>2025</v>
      </c>
      <c r="C39" s="6">
        <v>12</v>
      </c>
      <c r="D39" s="6"/>
      <c r="E39" s="6">
        <v>251100087</v>
      </c>
      <c r="F39" s="6" t="s">
        <v>144</v>
      </c>
      <c r="G39" s="6" t="s">
        <v>49</v>
      </c>
      <c r="H39" s="6" t="s">
        <v>62</v>
      </c>
      <c r="I39" s="6" t="s">
        <v>145</v>
      </c>
      <c r="J39" s="8" t="s">
        <v>145</v>
      </c>
      <c r="K39" s="6" t="s">
        <v>52</v>
      </c>
      <c r="L39" s="10" t="s">
        <v>111</v>
      </c>
      <c r="M39" s="10">
        <v>3387081.0</v>
      </c>
      <c r="N39" s="10">
        <v>10.0</v>
      </c>
      <c r="O39" s="10">
        <v>30.0</v>
      </c>
      <c r="P39" s="10">
        <v>0.0</v>
      </c>
      <c r="Q39" s="10">
        <v>0.0</v>
      </c>
      <c r="R39" s="10">
        <v>1693540.5</v>
      </c>
      <c r="S39" s="10">
        <v>1468387.71</v>
      </c>
      <c r="T39" s="10">
        <v>60000</v>
      </c>
      <c r="U39" s="10">
        <v>0</v>
      </c>
      <c r="V39" s="10">
        <v>100000</v>
      </c>
      <c r="W39" s="10">
        <v>0</v>
      </c>
      <c r="X39" s="10">
        <v>0</v>
      </c>
      <c r="Y39" s="10">
        <v>0</v>
      </c>
      <c r="Z39" s="10">
        <v>69096.45</v>
      </c>
      <c r="AA39" s="10">
        <v>135483.24</v>
      </c>
      <c r="AB39" s="10">
        <v>0.0</v>
      </c>
      <c r="AC39" s="10">
        <v>0</v>
      </c>
      <c r="AD39" s="10">
        <v>0</v>
      </c>
      <c r="AE39" s="10">
        <v>3526507.9</v>
      </c>
      <c r="AF39" s="10" t="s">
        <v>54</v>
      </c>
      <c r="AG39" s="12">
        <v>0.0</v>
      </c>
      <c r="AH39" s="10">
        <v>0.0</v>
      </c>
      <c r="AI39" s="10">
        <v>-69096.45</v>
      </c>
      <c r="AJ39" s="10">
        <v>-67741.62</v>
      </c>
      <c r="AK39" s="10">
        <v>-135483.24</v>
      </c>
      <c r="AL39" s="10">
        <v>-33870.81</v>
      </c>
      <c r="AM39" s="10">
        <v>-33870.81</v>
      </c>
      <c r="AN39" s="10">
        <v>0</v>
      </c>
      <c r="AO39" s="10">
        <v>0</v>
      </c>
      <c r="AP39" s="10">
        <v>0</v>
      </c>
      <c r="AQ39" s="10">
        <v>0</v>
      </c>
      <c r="AR39" s="10">
        <f>SUM(AE39,AH39:AQ39)</f>
        <v>3186444.97</v>
      </c>
      <c r="AS39" s="10">
        <v>-44.97</v>
      </c>
      <c r="AT39" s="10">
        <f>SUM(AR39:AS39)</f>
        <v>3186400</v>
      </c>
    </row>
    <row r="40" spans="1:46">
      <c r="A40" s="5">
        <v>33</v>
      </c>
      <c r="B40" s="5">
        <v>2025</v>
      </c>
      <c r="C40" s="5">
        <v>12</v>
      </c>
      <c r="D40" s="5"/>
      <c r="E40" s="5">
        <v>251100076</v>
      </c>
      <c r="F40" s="5" t="s">
        <v>146</v>
      </c>
      <c r="G40" s="5" t="s">
        <v>49</v>
      </c>
      <c r="H40" s="5" t="s">
        <v>50</v>
      </c>
      <c r="I40" s="5" t="s">
        <v>147</v>
      </c>
      <c r="J40" s="7" t="s">
        <v>147</v>
      </c>
      <c r="K40" s="5" t="s">
        <v>81</v>
      </c>
      <c r="L40" s="9" t="s">
        <v>68</v>
      </c>
      <c r="M40" s="9">
        <v>3387081.0</v>
      </c>
      <c r="N40" s="9">
        <v>19.0</v>
      </c>
      <c r="O40" s="9">
        <v>57.0</v>
      </c>
      <c r="P40" s="9">
        <v>0.0</v>
      </c>
      <c r="Q40" s="9">
        <v>0.0</v>
      </c>
      <c r="R40" s="9">
        <v>3217726.95</v>
      </c>
      <c r="S40" s="9">
        <v>2789936.66</v>
      </c>
      <c r="T40" s="9">
        <v>114000</v>
      </c>
      <c r="U40" s="9">
        <v>0</v>
      </c>
      <c r="V40" s="9">
        <v>190000</v>
      </c>
      <c r="W40" s="9">
        <v>0</v>
      </c>
      <c r="X40" s="9">
        <v>0</v>
      </c>
      <c r="Y40" s="9">
        <v>0</v>
      </c>
      <c r="Z40" s="9">
        <v>69096.45</v>
      </c>
      <c r="AA40" s="9">
        <v>135483.24</v>
      </c>
      <c r="AB40" s="9">
        <v>0.0</v>
      </c>
      <c r="AC40" s="9">
        <v>0</v>
      </c>
      <c r="AD40" s="9">
        <v>0</v>
      </c>
      <c r="AE40" s="9">
        <v>6516243.3</v>
      </c>
      <c r="AF40" s="9" t="s">
        <v>54</v>
      </c>
      <c r="AG40" s="11">
        <v>0.01</v>
      </c>
      <c r="AH40" s="9">
        <v>-65162.0</v>
      </c>
      <c r="AI40" s="9">
        <v>-69096.45</v>
      </c>
      <c r="AJ40" s="9">
        <v>-67741.62</v>
      </c>
      <c r="AK40" s="9">
        <v>-135483.24</v>
      </c>
      <c r="AL40" s="9">
        <v>-33870.81</v>
      </c>
      <c r="AM40" s="9">
        <v>-33870.81</v>
      </c>
      <c r="AN40" s="9">
        <v>0</v>
      </c>
      <c r="AO40" s="9">
        <v>0</v>
      </c>
      <c r="AP40" s="9">
        <v>0</v>
      </c>
      <c r="AQ40" s="9">
        <v>0</v>
      </c>
      <c r="AR40" s="9">
        <f>SUM(AE40,AH40:AQ40)</f>
        <v>6111018.37</v>
      </c>
      <c r="AS40" s="9">
        <v>-18.37</v>
      </c>
      <c r="AT40" s="9">
        <f>SUM(AR40:AS40)</f>
        <v>6111000</v>
      </c>
    </row>
    <row r="41" spans="1:46">
      <c r="A41" s="6">
        <v>34</v>
      </c>
      <c r="B41" s="6">
        <v>2025</v>
      </c>
      <c r="C41" s="6">
        <v>12</v>
      </c>
      <c r="D41" s="6"/>
      <c r="E41" s="6">
        <v>251100038</v>
      </c>
      <c r="F41" s="6" t="s">
        <v>148</v>
      </c>
      <c r="G41" s="6" t="s">
        <v>49</v>
      </c>
      <c r="H41" s="6" t="s">
        <v>62</v>
      </c>
      <c r="I41" s="6" t="s">
        <v>149</v>
      </c>
      <c r="J41" s="8" t="s">
        <v>149</v>
      </c>
      <c r="K41" s="6" t="s">
        <v>58</v>
      </c>
      <c r="L41" s="10" t="s">
        <v>138</v>
      </c>
      <c r="M41" s="10">
        <v>3387081.0</v>
      </c>
      <c r="N41" s="10">
        <v>18.0</v>
      </c>
      <c r="O41" s="10">
        <v>54.0</v>
      </c>
      <c r="P41" s="10">
        <v>0.0</v>
      </c>
      <c r="Q41" s="10">
        <v>0.0</v>
      </c>
      <c r="R41" s="10">
        <v>3048372.9</v>
      </c>
      <c r="S41" s="10">
        <v>2643097.89</v>
      </c>
      <c r="T41" s="10">
        <v>108000</v>
      </c>
      <c r="U41" s="10">
        <v>0</v>
      </c>
      <c r="V41" s="10">
        <v>180000</v>
      </c>
      <c r="W41" s="10">
        <v>0</v>
      </c>
      <c r="X41" s="10">
        <v>0</v>
      </c>
      <c r="Y41" s="10">
        <v>0</v>
      </c>
      <c r="Z41" s="10">
        <v>69096.45</v>
      </c>
      <c r="AA41" s="10">
        <v>135483.24</v>
      </c>
      <c r="AB41" s="10">
        <v>0.0</v>
      </c>
      <c r="AC41" s="10">
        <v>0</v>
      </c>
      <c r="AD41" s="10">
        <v>0</v>
      </c>
      <c r="AE41" s="10">
        <v>6184050.48</v>
      </c>
      <c r="AF41" s="10" t="s">
        <v>54</v>
      </c>
      <c r="AG41" s="12">
        <v>0.0075</v>
      </c>
      <c r="AH41" s="10">
        <v>-46380.0</v>
      </c>
      <c r="AI41" s="10">
        <v>-69096.45</v>
      </c>
      <c r="AJ41" s="10">
        <v>-67741.62</v>
      </c>
      <c r="AK41" s="10">
        <v>-135483.24</v>
      </c>
      <c r="AL41" s="10">
        <v>-33870.81</v>
      </c>
      <c r="AM41" s="10">
        <v>-33870.81</v>
      </c>
      <c r="AN41" s="10">
        <v>0</v>
      </c>
      <c r="AO41" s="10">
        <v>0</v>
      </c>
      <c r="AP41" s="10">
        <v>0</v>
      </c>
      <c r="AQ41" s="10">
        <v>0</v>
      </c>
      <c r="AR41" s="10">
        <f>SUM(AE41,AH41:AQ41)</f>
        <v>5797607.55</v>
      </c>
      <c r="AS41" s="10">
        <v>-7.55</v>
      </c>
      <c r="AT41" s="10">
        <f>SUM(AR41:AS41)</f>
        <v>5797600</v>
      </c>
    </row>
    <row r="42" spans="1:46">
      <c r="A42" s="5">
        <v>35</v>
      </c>
      <c r="B42" s="5">
        <v>2025</v>
      </c>
      <c r="C42" s="5">
        <v>12</v>
      </c>
      <c r="D42" s="5"/>
      <c r="E42" s="5">
        <v>251100069</v>
      </c>
      <c r="F42" s="5" t="s">
        <v>150</v>
      </c>
      <c r="G42" s="5" t="s">
        <v>49</v>
      </c>
      <c r="H42" s="5" t="s">
        <v>56</v>
      </c>
      <c r="I42" s="5" t="s">
        <v>151</v>
      </c>
      <c r="J42" s="7" t="s">
        <v>151</v>
      </c>
      <c r="K42" s="5" t="s">
        <v>71</v>
      </c>
      <c r="L42" s="9" t="s">
        <v>68</v>
      </c>
      <c r="M42" s="9">
        <v>3387081.0</v>
      </c>
      <c r="N42" s="9">
        <v>7.0</v>
      </c>
      <c r="O42" s="9">
        <v>21.0</v>
      </c>
      <c r="P42" s="9">
        <v>0.0</v>
      </c>
      <c r="Q42" s="9">
        <v>0.0</v>
      </c>
      <c r="R42" s="9">
        <v>1185478.35</v>
      </c>
      <c r="S42" s="9">
        <v>1027871.4</v>
      </c>
      <c r="T42" s="9">
        <v>42000</v>
      </c>
      <c r="U42" s="9">
        <v>0</v>
      </c>
      <c r="V42" s="9">
        <v>70000</v>
      </c>
      <c r="W42" s="9">
        <v>0</v>
      </c>
      <c r="X42" s="9">
        <v>0</v>
      </c>
      <c r="Y42" s="9">
        <v>0</v>
      </c>
      <c r="Z42" s="9">
        <v>69096.45</v>
      </c>
      <c r="AA42" s="9">
        <v>135483.24</v>
      </c>
      <c r="AB42" s="9">
        <v>0.0</v>
      </c>
      <c r="AC42" s="9">
        <v>0</v>
      </c>
      <c r="AD42" s="9">
        <v>0</v>
      </c>
      <c r="AE42" s="9">
        <v>2529929.44</v>
      </c>
      <c r="AF42" s="9" t="s">
        <v>60</v>
      </c>
      <c r="AG42" s="11">
        <v>0.0</v>
      </c>
      <c r="AH42" s="9">
        <v>0.0</v>
      </c>
      <c r="AI42" s="9">
        <v>-69096.45</v>
      </c>
      <c r="AJ42" s="9">
        <v>-67741.62</v>
      </c>
      <c r="AK42" s="9">
        <v>-135483.24</v>
      </c>
      <c r="AL42" s="9">
        <v>-33870.81</v>
      </c>
      <c r="AM42" s="9">
        <v>-33870.81</v>
      </c>
      <c r="AN42" s="9">
        <v>0</v>
      </c>
      <c r="AO42" s="9">
        <v>0</v>
      </c>
      <c r="AP42" s="9">
        <v>0</v>
      </c>
      <c r="AQ42" s="9">
        <v>0</v>
      </c>
      <c r="AR42" s="9">
        <f>SUM(AE42,AH42:AQ42)</f>
        <v>2189866.51</v>
      </c>
      <c r="AS42" s="9">
        <v>33.49</v>
      </c>
      <c r="AT42" s="9">
        <f>SUM(AR42:AS42)</f>
        <v>2189900</v>
      </c>
    </row>
    <row r="43" spans="1:46">
      <c r="A43" s="6">
        <v>36</v>
      </c>
      <c r="B43" s="6">
        <v>2025</v>
      </c>
      <c r="C43" s="6">
        <v>12</v>
      </c>
      <c r="D43" s="6"/>
      <c r="E43" s="6">
        <v>251100024</v>
      </c>
      <c r="F43" s="6" t="s">
        <v>152</v>
      </c>
      <c r="G43" s="6" t="s">
        <v>49</v>
      </c>
      <c r="H43" s="6" t="s">
        <v>83</v>
      </c>
      <c r="I43" s="6" t="s">
        <v>153</v>
      </c>
      <c r="J43" s="8" t="s">
        <v>153</v>
      </c>
      <c r="K43" s="6" t="s">
        <v>85</v>
      </c>
      <c r="L43" s="10" t="s">
        <v>97</v>
      </c>
      <c r="M43" s="10">
        <v>3387081.0</v>
      </c>
      <c r="N43" s="10">
        <v>17.0</v>
      </c>
      <c r="O43" s="10">
        <v>51.0</v>
      </c>
      <c r="P43" s="10">
        <v>0.0</v>
      </c>
      <c r="Q43" s="10">
        <v>0.0</v>
      </c>
      <c r="R43" s="10">
        <v>2879018.85</v>
      </c>
      <c r="S43" s="10">
        <v>2496259.11</v>
      </c>
      <c r="T43" s="10">
        <v>102000</v>
      </c>
      <c r="U43" s="10">
        <v>0</v>
      </c>
      <c r="V43" s="10">
        <v>170000</v>
      </c>
      <c r="W43" s="10">
        <v>0</v>
      </c>
      <c r="X43" s="10">
        <v>0</v>
      </c>
      <c r="Y43" s="10">
        <v>0</v>
      </c>
      <c r="Z43" s="10">
        <v>69096.45</v>
      </c>
      <c r="AA43" s="10">
        <v>135483.24</v>
      </c>
      <c r="AB43" s="10">
        <v>0.0</v>
      </c>
      <c r="AC43" s="10">
        <v>0</v>
      </c>
      <c r="AD43" s="10">
        <v>0</v>
      </c>
      <c r="AE43" s="10">
        <v>5851857.65</v>
      </c>
      <c r="AF43" s="10" t="s">
        <v>60</v>
      </c>
      <c r="AG43" s="12">
        <v>0.0</v>
      </c>
      <c r="AH43" s="10">
        <v>0.0</v>
      </c>
      <c r="AI43" s="10">
        <v>-69096.45</v>
      </c>
      <c r="AJ43" s="10">
        <v>-67741.62</v>
      </c>
      <c r="AK43" s="10">
        <v>-135483.24</v>
      </c>
      <c r="AL43" s="10">
        <v>-33870.81</v>
      </c>
      <c r="AM43" s="10">
        <v>-33870.81</v>
      </c>
      <c r="AN43" s="10">
        <v>0</v>
      </c>
      <c r="AO43" s="10">
        <v>0</v>
      </c>
      <c r="AP43" s="10">
        <v>0</v>
      </c>
      <c r="AQ43" s="10">
        <v>0</v>
      </c>
      <c r="AR43" s="10">
        <f>SUM(AE43,AH43:AQ43)</f>
        <v>5511794.72</v>
      </c>
      <c r="AS43" s="10">
        <v>5.28</v>
      </c>
      <c r="AT43" s="10">
        <f>SUM(AR43:AS43)</f>
        <v>5511800</v>
      </c>
    </row>
    <row r="44" spans="1:46">
      <c r="A44" s="5">
        <v>37</v>
      </c>
      <c r="B44" s="5">
        <v>2025</v>
      </c>
      <c r="C44" s="5">
        <v>12</v>
      </c>
      <c r="D44" s="5"/>
      <c r="E44" s="5">
        <v>251100084</v>
      </c>
      <c r="F44" s="5" t="s">
        <v>154</v>
      </c>
      <c r="G44" s="5" t="s">
        <v>49</v>
      </c>
      <c r="H44" s="5" t="s">
        <v>50</v>
      </c>
      <c r="I44" s="5" t="s">
        <v>155</v>
      </c>
      <c r="J44" s="7" t="s">
        <v>155</v>
      </c>
      <c r="K44" s="5" t="s">
        <v>58</v>
      </c>
      <c r="L44" s="9" t="s">
        <v>111</v>
      </c>
      <c r="M44" s="9">
        <v>3387081.0</v>
      </c>
      <c r="N44" s="9">
        <v>14.0</v>
      </c>
      <c r="O44" s="9">
        <v>42.0</v>
      </c>
      <c r="P44" s="9">
        <v>0.0</v>
      </c>
      <c r="Q44" s="9">
        <v>0.0</v>
      </c>
      <c r="R44" s="9">
        <v>2370956.7</v>
      </c>
      <c r="S44" s="9">
        <v>2055742.8</v>
      </c>
      <c r="T44" s="9">
        <v>84000</v>
      </c>
      <c r="U44" s="9">
        <v>203225</v>
      </c>
      <c r="V44" s="9">
        <v>140000</v>
      </c>
      <c r="W44" s="9">
        <v>0</v>
      </c>
      <c r="X44" s="9">
        <v>0</v>
      </c>
      <c r="Y44" s="9">
        <v>0</v>
      </c>
      <c r="Z44" s="9">
        <v>69096.45</v>
      </c>
      <c r="AA44" s="9">
        <v>135483.24</v>
      </c>
      <c r="AB44" s="9">
        <v>0.0</v>
      </c>
      <c r="AC44" s="9">
        <v>0</v>
      </c>
      <c r="AD44" s="9">
        <v>0</v>
      </c>
      <c r="AE44" s="9">
        <v>5058504.19</v>
      </c>
      <c r="AF44" s="9" t="s">
        <v>54</v>
      </c>
      <c r="AG44" s="11">
        <v>0.0</v>
      </c>
      <c r="AH44" s="9">
        <v>0.0</v>
      </c>
      <c r="AI44" s="9">
        <v>-69096.45</v>
      </c>
      <c r="AJ44" s="9">
        <v>-67741.62</v>
      </c>
      <c r="AK44" s="9">
        <v>-135483.24</v>
      </c>
      <c r="AL44" s="9">
        <v>-33870.81</v>
      </c>
      <c r="AM44" s="9">
        <v>-33870.81</v>
      </c>
      <c r="AN44" s="9">
        <v>0</v>
      </c>
      <c r="AO44" s="9">
        <v>0</v>
      </c>
      <c r="AP44" s="9">
        <v>0</v>
      </c>
      <c r="AQ44" s="9">
        <v>0</v>
      </c>
      <c r="AR44" s="9">
        <f>SUM(AE44,AH44:AQ44)</f>
        <v>4718441.26</v>
      </c>
      <c r="AS44" s="9">
        <v>-41.26</v>
      </c>
      <c r="AT44" s="9">
        <f>SUM(AR44:AS44)</f>
        <v>4718400</v>
      </c>
    </row>
    <row r="45" spans="1:46">
      <c r="A45" s="6">
        <v>38</v>
      </c>
      <c r="B45" s="6">
        <v>2025</v>
      </c>
      <c r="C45" s="6">
        <v>12</v>
      </c>
      <c r="D45" s="6"/>
      <c r="E45" s="6">
        <v>251100070</v>
      </c>
      <c r="F45" s="6" t="s">
        <v>156</v>
      </c>
      <c r="G45" s="6" t="s">
        <v>49</v>
      </c>
      <c r="H45" s="6" t="s">
        <v>62</v>
      </c>
      <c r="I45" s="6" t="s">
        <v>157</v>
      </c>
      <c r="J45" s="8" t="s">
        <v>157</v>
      </c>
      <c r="K45" s="6" t="s">
        <v>71</v>
      </c>
      <c r="L45" s="10" t="s">
        <v>68</v>
      </c>
      <c r="M45" s="10">
        <v>3387081.0</v>
      </c>
      <c r="N45" s="10">
        <v>18.0</v>
      </c>
      <c r="O45" s="10">
        <v>54.0</v>
      </c>
      <c r="P45" s="10">
        <v>0.0</v>
      </c>
      <c r="Q45" s="10">
        <v>0.0</v>
      </c>
      <c r="R45" s="10">
        <v>3048372.9</v>
      </c>
      <c r="S45" s="10">
        <v>2643097.89</v>
      </c>
      <c r="T45" s="10">
        <v>108000</v>
      </c>
      <c r="U45" s="10">
        <v>457256</v>
      </c>
      <c r="V45" s="10">
        <v>180000</v>
      </c>
      <c r="W45" s="10">
        <v>0</v>
      </c>
      <c r="X45" s="10">
        <v>0</v>
      </c>
      <c r="Y45" s="10">
        <v>0</v>
      </c>
      <c r="Z45" s="10">
        <v>69096.45</v>
      </c>
      <c r="AA45" s="10">
        <v>135483.24</v>
      </c>
      <c r="AB45" s="10">
        <v>0.0</v>
      </c>
      <c r="AC45" s="10">
        <v>0</v>
      </c>
      <c r="AD45" s="10">
        <v>0</v>
      </c>
      <c r="AE45" s="10">
        <v>6641306.48</v>
      </c>
      <c r="AF45" s="10" t="s">
        <v>54</v>
      </c>
      <c r="AG45" s="12">
        <v>0.01</v>
      </c>
      <c r="AH45" s="10">
        <v>-66413.0</v>
      </c>
      <c r="AI45" s="10">
        <v>-69096.45</v>
      </c>
      <c r="AJ45" s="10">
        <v>-67741.62</v>
      </c>
      <c r="AK45" s="10">
        <v>-135483.24</v>
      </c>
      <c r="AL45" s="10">
        <v>-33870.81</v>
      </c>
      <c r="AM45" s="10">
        <v>-33870.81</v>
      </c>
      <c r="AN45" s="10">
        <v>0</v>
      </c>
      <c r="AO45" s="10">
        <v>0</v>
      </c>
      <c r="AP45" s="10">
        <v>0</v>
      </c>
      <c r="AQ45" s="10">
        <v>0</v>
      </c>
      <c r="AR45" s="10">
        <f>SUM(AE45,AH45:AQ45)</f>
        <v>6234830.55</v>
      </c>
      <c r="AS45" s="10">
        <v>-30.55</v>
      </c>
      <c r="AT45" s="10">
        <f>SUM(AR45:AS45)</f>
        <v>6234800</v>
      </c>
    </row>
    <row r="46" spans="1:46">
      <c r="A46" s="5">
        <v>39</v>
      </c>
      <c r="B46" s="5">
        <v>2025</v>
      </c>
      <c r="C46" s="5">
        <v>12</v>
      </c>
      <c r="D46" s="5"/>
      <c r="E46" s="5">
        <v>251100064</v>
      </c>
      <c r="F46" s="5" t="s">
        <v>158</v>
      </c>
      <c r="G46" s="5" t="s">
        <v>49</v>
      </c>
      <c r="H46" s="5" t="s">
        <v>91</v>
      </c>
      <c r="I46" s="5" t="s">
        <v>159</v>
      </c>
      <c r="J46" s="7" t="s">
        <v>159</v>
      </c>
      <c r="K46" s="5" t="s">
        <v>67</v>
      </c>
      <c r="L46" s="9" t="s">
        <v>68</v>
      </c>
      <c r="M46" s="9">
        <v>3387081.0</v>
      </c>
      <c r="N46" s="9">
        <v>13.0</v>
      </c>
      <c r="O46" s="9">
        <v>39.0</v>
      </c>
      <c r="P46" s="9">
        <v>0.0</v>
      </c>
      <c r="Q46" s="9">
        <v>0.0</v>
      </c>
      <c r="R46" s="9">
        <v>2201602.65</v>
      </c>
      <c r="S46" s="9">
        <v>1908904.04</v>
      </c>
      <c r="T46" s="9">
        <v>78000</v>
      </c>
      <c r="U46" s="9">
        <v>0</v>
      </c>
      <c r="V46" s="9">
        <v>130000</v>
      </c>
      <c r="W46" s="9">
        <v>0</v>
      </c>
      <c r="X46" s="9">
        <v>0</v>
      </c>
      <c r="Y46" s="9">
        <v>0</v>
      </c>
      <c r="Z46" s="9">
        <v>69096.45</v>
      </c>
      <c r="AA46" s="9">
        <v>135483.24</v>
      </c>
      <c r="AB46" s="9">
        <v>0.0</v>
      </c>
      <c r="AC46" s="9">
        <v>0</v>
      </c>
      <c r="AD46" s="9">
        <v>0</v>
      </c>
      <c r="AE46" s="9">
        <v>4523086.38</v>
      </c>
      <c r="AF46" s="9" t="s">
        <v>93</v>
      </c>
      <c r="AG46" s="11">
        <v>0.0</v>
      </c>
      <c r="AH46" s="9">
        <v>0.0</v>
      </c>
      <c r="AI46" s="9">
        <v>-69096.45</v>
      </c>
      <c r="AJ46" s="9">
        <v>-67741.62</v>
      </c>
      <c r="AK46" s="9">
        <v>-135483.24</v>
      </c>
      <c r="AL46" s="9">
        <v>-33870.81</v>
      </c>
      <c r="AM46" s="9">
        <v>-33870.81</v>
      </c>
      <c r="AN46" s="9">
        <v>0</v>
      </c>
      <c r="AO46" s="9">
        <v>0</v>
      </c>
      <c r="AP46" s="9">
        <v>0</v>
      </c>
      <c r="AQ46" s="9">
        <v>0</v>
      </c>
      <c r="AR46" s="9">
        <f>SUM(AE46,AH46:AQ46)</f>
        <v>4183023.45</v>
      </c>
      <c r="AS46" s="9">
        <v>-23.45</v>
      </c>
      <c r="AT46" s="9">
        <f>SUM(AR46:AS46)</f>
        <v>4183000</v>
      </c>
    </row>
    <row r="47" spans="1:46">
      <c r="A47" s="6">
        <v>40</v>
      </c>
      <c r="B47" s="6">
        <v>2025</v>
      </c>
      <c r="C47" s="6">
        <v>12</v>
      </c>
      <c r="D47" s="6"/>
      <c r="E47" s="6">
        <v>251100073</v>
      </c>
      <c r="F47" s="6" t="s">
        <v>160</v>
      </c>
      <c r="G47" s="6" t="s">
        <v>49</v>
      </c>
      <c r="H47" s="6" t="s">
        <v>56</v>
      </c>
      <c r="I47" s="6" t="s">
        <v>161</v>
      </c>
      <c r="J47" s="8" t="s">
        <v>161</v>
      </c>
      <c r="K47" s="6" t="s">
        <v>71</v>
      </c>
      <c r="L47" s="10" t="s">
        <v>68</v>
      </c>
      <c r="M47" s="10">
        <v>3387081.0</v>
      </c>
      <c r="N47" s="10">
        <v>11.0</v>
      </c>
      <c r="O47" s="10">
        <v>33.0</v>
      </c>
      <c r="P47" s="10">
        <v>0.0</v>
      </c>
      <c r="Q47" s="10">
        <v>0.0</v>
      </c>
      <c r="R47" s="10">
        <v>1862894.55</v>
      </c>
      <c r="S47" s="10">
        <v>1615226.49</v>
      </c>
      <c r="T47" s="10">
        <v>66000</v>
      </c>
      <c r="U47" s="10">
        <v>0</v>
      </c>
      <c r="V47" s="10">
        <v>110000</v>
      </c>
      <c r="W47" s="10">
        <v>0</v>
      </c>
      <c r="X47" s="10">
        <v>0</v>
      </c>
      <c r="Y47" s="10">
        <v>0</v>
      </c>
      <c r="Z47" s="10">
        <v>69096.45</v>
      </c>
      <c r="AA47" s="10">
        <v>135483.24</v>
      </c>
      <c r="AB47" s="10">
        <v>0.0</v>
      </c>
      <c r="AC47" s="10">
        <v>0</v>
      </c>
      <c r="AD47" s="10">
        <v>0</v>
      </c>
      <c r="AE47" s="10">
        <v>3858700.73</v>
      </c>
      <c r="AF47" s="10" t="s">
        <v>60</v>
      </c>
      <c r="AG47" s="12">
        <v>0.0</v>
      </c>
      <c r="AH47" s="10">
        <v>0.0</v>
      </c>
      <c r="AI47" s="10">
        <v>-69096.45</v>
      </c>
      <c r="AJ47" s="10">
        <v>-67741.62</v>
      </c>
      <c r="AK47" s="10">
        <v>-135483.24</v>
      </c>
      <c r="AL47" s="10">
        <v>-33870.81</v>
      </c>
      <c r="AM47" s="10">
        <v>-33870.81</v>
      </c>
      <c r="AN47" s="10">
        <v>0</v>
      </c>
      <c r="AO47" s="10">
        <v>0</v>
      </c>
      <c r="AP47" s="10">
        <v>0</v>
      </c>
      <c r="AQ47" s="10">
        <v>0</v>
      </c>
      <c r="AR47" s="10">
        <f>SUM(AE47,AH47:AQ47)</f>
        <v>3518637.8</v>
      </c>
      <c r="AS47" s="10">
        <v>-37.8</v>
      </c>
      <c r="AT47" s="10">
        <f>SUM(AR47:AS47)</f>
        <v>3518600</v>
      </c>
    </row>
    <row r="48" spans="1:46">
      <c r="A48" s="5">
        <v>41</v>
      </c>
      <c r="B48" s="5">
        <v>2025</v>
      </c>
      <c r="C48" s="5">
        <v>12</v>
      </c>
      <c r="D48" s="5"/>
      <c r="E48" s="5">
        <v>251100036</v>
      </c>
      <c r="F48" s="5" t="s">
        <v>162</v>
      </c>
      <c r="G48" s="5" t="s">
        <v>49</v>
      </c>
      <c r="H48" s="5" t="s">
        <v>91</v>
      </c>
      <c r="I48" s="5" t="s">
        <v>163</v>
      </c>
      <c r="J48" s="7" t="s">
        <v>163</v>
      </c>
      <c r="K48" s="5" t="s">
        <v>96</v>
      </c>
      <c r="L48" s="9" t="s">
        <v>126</v>
      </c>
      <c r="M48" s="9">
        <v>3387081.0</v>
      </c>
      <c r="N48" s="9">
        <v>18.0</v>
      </c>
      <c r="O48" s="9">
        <v>54.0</v>
      </c>
      <c r="P48" s="9">
        <v>0.0</v>
      </c>
      <c r="Q48" s="9">
        <v>0.0</v>
      </c>
      <c r="R48" s="9">
        <v>3048372.9</v>
      </c>
      <c r="S48" s="9">
        <v>2643097.89</v>
      </c>
      <c r="T48" s="9">
        <v>108000</v>
      </c>
      <c r="U48" s="9">
        <v>0</v>
      </c>
      <c r="V48" s="9">
        <v>180000</v>
      </c>
      <c r="W48" s="9">
        <v>0</v>
      </c>
      <c r="X48" s="9">
        <v>0</v>
      </c>
      <c r="Y48" s="9">
        <v>0</v>
      </c>
      <c r="Z48" s="9">
        <v>69096.45</v>
      </c>
      <c r="AA48" s="9">
        <v>135483.24</v>
      </c>
      <c r="AB48" s="9">
        <v>0.0</v>
      </c>
      <c r="AC48" s="9">
        <v>0</v>
      </c>
      <c r="AD48" s="9">
        <v>0</v>
      </c>
      <c r="AE48" s="9">
        <v>6184050.48</v>
      </c>
      <c r="AF48" s="9" t="s">
        <v>93</v>
      </c>
      <c r="AG48" s="11">
        <v>0.0</v>
      </c>
      <c r="AH48" s="9">
        <v>0.0</v>
      </c>
      <c r="AI48" s="9">
        <v>-69096.45</v>
      </c>
      <c r="AJ48" s="9">
        <v>-67741.62</v>
      </c>
      <c r="AK48" s="9">
        <v>-135483.24</v>
      </c>
      <c r="AL48" s="9">
        <v>-33870.81</v>
      </c>
      <c r="AM48" s="9">
        <v>-33870.81</v>
      </c>
      <c r="AN48" s="9">
        <v>0</v>
      </c>
      <c r="AO48" s="9">
        <v>0</v>
      </c>
      <c r="AP48" s="9">
        <v>0</v>
      </c>
      <c r="AQ48" s="9">
        <v>0</v>
      </c>
      <c r="AR48" s="9">
        <f>SUM(AE48,AH48:AQ48)</f>
        <v>5843987.55</v>
      </c>
      <c r="AS48" s="9">
        <v>12.45</v>
      </c>
      <c r="AT48" s="9">
        <f>SUM(AR48:AS48)</f>
        <v>5844000</v>
      </c>
    </row>
    <row r="49" spans="1:46">
      <c r="A49" s="6">
        <v>42</v>
      </c>
      <c r="B49" s="6">
        <v>2025</v>
      </c>
      <c r="C49" s="6">
        <v>12</v>
      </c>
      <c r="D49" s="6"/>
      <c r="E49" s="6">
        <v>251100031</v>
      </c>
      <c r="F49" s="6" t="s">
        <v>164</v>
      </c>
      <c r="G49" s="6" t="s">
        <v>87</v>
      </c>
      <c r="H49" s="6" t="s">
        <v>50</v>
      </c>
      <c r="I49" s="6" t="s">
        <v>165</v>
      </c>
      <c r="J49" s="8" t="s">
        <v>165</v>
      </c>
      <c r="K49" s="6" t="s">
        <v>166</v>
      </c>
      <c r="L49" s="10" t="s">
        <v>167</v>
      </c>
      <c r="M49" s="10">
        <v>3387081.0</v>
      </c>
      <c r="N49" s="10">
        <v>11.0</v>
      </c>
      <c r="O49" s="10">
        <v>33.0</v>
      </c>
      <c r="P49" s="10">
        <v>0.0</v>
      </c>
      <c r="Q49" s="10">
        <v>0.0</v>
      </c>
      <c r="R49" s="10">
        <v>1862894.55</v>
      </c>
      <c r="S49" s="10">
        <v>1615226.49</v>
      </c>
      <c r="T49" s="10">
        <v>66000</v>
      </c>
      <c r="U49" s="10">
        <v>0</v>
      </c>
      <c r="V49" s="10">
        <v>110000</v>
      </c>
      <c r="W49" s="10">
        <v>0</v>
      </c>
      <c r="X49" s="10">
        <v>0</v>
      </c>
      <c r="Y49" s="10">
        <v>0</v>
      </c>
      <c r="Z49" s="10">
        <v>69096.45</v>
      </c>
      <c r="AA49" s="10">
        <v>135483.24</v>
      </c>
      <c r="AB49" s="10">
        <v>0.0</v>
      </c>
      <c r="AC49" s="10">
        <v>0</v>
      </c>
      <c r="AD49" s="10">
        <v>0</v>
      </c>
      <c r="AE49" s="10">
        <v>3858700.73</v>
      </c>
      <c r="AF49" s="10" t="s">
        <v>54</v>
      </c>
      <c r="AG49" s="12">
        <v>0.0</v>
      </c>
      <c r="AH49" s="10">
        <v>0.0</v>
      </c>
      <c r="AI49" s="10">
        <v>-69096.45</v>
      </c>
      <c r="AJ49" s="10">
        <v>-67741.62</v>
      </c>
      <c r="AK49" s="10">
        <v>-135483.24</v>
      </c>
      <c r="AL49" s="10">
        <v>-33870.81</v>
      </c>
      <c r="AM49" s="10">
        <v>-33870.81</v>
      </c>
      <c r="AN49" s="10">
        <v>0</v>
      </c>
      <c r="AO49" s="10">
        <v>0</v>
      </c>
      <c r="AP49" s="10">
        <v>0</v>
      </c>
      <c r="AQ49" s="10">
        <v>0</v>
      </c>
      <c r="AR49" s="10">
        <f>SUM(AE49,AH49:AQ49)</f>
        <v>3518637.8</v>
      </c>
      <c r="AS49" s="10">
        <v>-37.8</v>
      </c>
      <c r="AT49" s="10">
        <f>SUM(AR49:AS49)</f>
        <v>3518600</v>
      </c>
    </row>
    <row r="50" spans="1:46">
      <c r="A50" s="5">
        <v>43</v>
      </c>
      <c r="B50" s="5">
        <v>2025</v>
      </c>
      <c r="C50" s="5">
        <v>12</v>
      </c>
      <c r="D50" s="5"/>
      <c r="E50" s="5">
        <v>251100082</v>
      </c>
      <c r="F50" s="5" t="s">
        <v>168</v>
      </c>
      <c r="G50" s="5" t="s">
        <v>49</v>
      </c>
      <c r="H50" s="5" t="s">
        <v>91</v>
      </c>
      <c r="I50" s="5" t="s">
        <v>169</v>
      </c>
      <c r="J50" s="7" t="s">
        <v>169</v>
      </c>
      <c r="K50" s="5" t="s">
        <v>85</v>
      </c>
      <c r="L50" s="9" t="s">
        <v>170</v>
      </c>
      <c r="M50" s="9">
        <v>3387081.0</v>
      </c>
      <c r="N50" s="9">
        <v>15.0</v>
      </c>
      <c r="O50" s="9">
        <v>45.0</v>
      </c>
      <c r="P50" s="9">
        <v>0.0</v>
      </c>
      <c r="Q50" s="9">
        <v>0.0</v>
      </c>
      <c r="R50" s="9">
        <v>2540310.75</v>
      </c>
      <c r="S50" s="9">
        <v>2202581.58</v>
      </c>
      <c r="T50" s="9">
        <v>90000</v>
      </c>
      <c r="U50" s="9">
        <v>0</v>
      </c>
      <c r="V50" s="9">
        <v>150000</v>
      </c>
      <c r="W50" s="9">
        <v>0</v>
      </c>
      <c r="X50" s="9">
        <v>0</v>
      </c>
      <c r="Y50" s="9">
        <v>0</v>
      </c>
      <c r="Z50" s="9">
        <v>69096.45</v>
      </c>
      <c r="AA50" s="9">
        <v>135483.24</v>
      </c>
      <c r="AB50" s="9">
        <v>0.0</v>
      </c>
      <c r="AC50" s="9">
        <v>0</v>
      </c>
      <c r="AD50" s="9">
        <v>0</v>
      </c>
      <c r="AE50" s="9">
        <v>5187472.02</v>
      </c>
      <c r="AF50" s="9" t="s">
        <v>93</v>
      </c>
      <c r="AG50" s="11">
        <v>0.0</v>
      </c>
      <c r="AH50" s="9">
        <v>0.0</v>
      </c>
      <c r="AI50" s="9">
        <v>-69096.45</v>
      </c>
      <c r="AJ50" s="9">
        <v>-67741.62</v>
      </c>
      <c r="AK50" s="9">
        <v>-135483.24</v>
      </c>
      <c r="AL50" s="9">
        <v>-33870.81</v>
      </c>
      <c r="AM50" s="9">
        <v>-33870.81</v>
      </c>
      <c r="AN50" s="9">
        <v>0</v>
      </c>
      <c r="AO50" s="9">
        <v>0</v>
      </c>
      <c r="AP50" s="9">
        <v>0</v>
      </c>
      <c r="AQ50" s="9">
        <v>0</v>
      </c>
      <c r="AR50" s="9">
        <f>SUM(AE50,AH50:AQ50)</f>
        <v>4847409.09</v>
      </c>
      <c r="AS50" s="9">
        <v>-9.09</v>
      </c>
      <c r="AT50" s="9">
        <f>SUM(AR50:AS50)</f>
        <v>4847400</v>
      </c>
    </row>
    <row r="51" spans="1:46">
      <c r="A51" s="6">
        <v>44</v>
      </c>
      <c r="B51" s="6">
        <v>2025</v>
      </c>
      <c r="C51" s="6">
        <v>12</v>
      </c>
      <c r="D51" s="6"/>
      <c r="E51" s="6">
        <v>251100046</v>
      </c>
      <c r="F51" s="6" t="s">
        <v>171</v>
      </c>
      <c r="G51" s="6" t="s">
        <v>49</v>
      </c>
      <c r="H51" s="6" t="s">
        <v>50</v>
      </c>
      <c r="I51" s="6" t="s">
        <v>172</v>
      </c>
      <c r="J51" s="8" t="s">
        <v>172</v>
      </c>
      <c r="K51" s="6" t="s">
        <v>58</v>
      </c>
      <c r="L51" s="10" t="s">
        <v>126</v>
      </c>
      <c r="M51" s="10">
        <v>3387081.0</v>
      </c>
      <c r="N51" s="10">
        <v>1.0</v>
      </c>
      <c r="O51" s="10">
        <v>3.0</v>
      </c>
      <c r="P51" s="10">
        <v>0.0</v>
      </c>
      <c r="Q51" s="10">
        <v>0.0</v>
      </c>
      <c r="R51" s="10">
        <v>169354.05</v>
      </c>
      <c r="S51" s="10">
        <v>146838.77</v>
      </c>
      <c r="T51" s="10">
        <v>6000</v>
      </c>
      <c r="U51" s="10">
        <v>0</v>
      </c>
      <c r="V51" s="10">
        <v>10000</v>
      </c>
      <c r="W51" s="10">
        <v>0</v>
      </c>
      <c r="X51" s="10">
        <v>0</v>
      </c>
      <c r="Y51" s="10">
        <v>0</v>
      </c>
      <c r="Z51" s="10">
        <v>69096.45</v>
      </c>
      <c r="AA51" s="10">
        <v>135483.24</v>
      </c>
      <c r="AB51" s="10">
        <v>0.0</v>
      </c>
      <c r="AC51" s="10">
        <v>0</v>
      </c>
      <c r="AD51" s="10">
        <v>0</v>
      </c>
      <c r="AE51" s="10">
        <v>536772.51</v>
      </c>
      <c r="AF51" s="10" t="s">
        <v>54</v>
      </c>
      <c r="AG51" s="12">
        <v>0.0</v>
      </c>
      <c r="AH51" s="10">
        <v>0.0</v>
      </c>
      <c r="AI51" s="10">
        <v>-69096.45</v>
      </c>
      <c r="AJ51" s="10">
        <v>-67741.62</v>
      </c>
      <c r="AK51" s="10">
        <v>-135483.24</v>
      </c>
      <c r="AL51" s="10">
        <v>-33870.81</v>
      </c>
      <c r="AM51" s="10">
        <v>-33870.81</v>
      </c>
      <c r="AN51" s="10">
        <v>0</v>
      </c>
      <c r="AO51" s="10">
        <v>0</v>
      </c>
      <c r="AP51" s="10">
        <v>0</v>
      </c>
      <c r="AQ51" s="10">
        <v>0</v>
      </c>
      <c r="AR51" s="10">
        <f>SUM(AE51,AH51:AQ51)</f>
        <v>196709.58</v>
      </c>
      <c r="AS51" s="10">
        <v>-9.58</v>
      </c>
      <c r="AT51" s="10">
        <f>SUM(AR51:AS51)</f>
        <v>196700</v>
      </c>
    </row>
    <row r="52" spans="1:46">
      <c r="A52" s="5">
        <v>45</v>
      </c>
      <c r="B52" s="5">
        <v>2025</v>
      </c>
      <c r="C52" s="5">
        <v>12</v>
      </c>
      <c r="D52" s="5"/>
      <c r="E52" s="5">
        <v>251200006</v>
      </c>
      <c r="F52" s="5" t="s">
        <v>173</v>
      </c>
      <c r="G52" s="5" t="s">
        <v>49</v>
      </c>
      <c r="H52" s="5" t="s">
        <v>50</v>
      </c>
      <c r="I52" s="5" t="s">
        <v>174</v>
      </c>
      <c r="J52" s="7" t="s">
        <v>174</v>
      </c>
      <c r="K52" s="5" t="s">
        <v>175</v>
      </c>
      <c r="L52" s="9" t="s">
        <v>64</v>
      </c>
      <c r="M52" s="9">
        <v>3387081.0</v>
      </c>
      <c r="N52" s="9">
        <v>17.0</v>
      </c>
      <c r="O52" s="9">
        <v>51.0</v>
      </c>
      <c r="P52" s="9">
        <v>0.0</v>
      </c>
      <c r="Q52" s="9">
        <v>0.0</v>
      </c>
      <c r="R52" s="9">
        <v>2879018.85</v>
      </c>
      <c r="S52" s="9">
        <v>2496259.11</v>
      </c>
      <c r="T52" s="9">
        <v>102000</v>
      </c>
      <c r="U52" s="9">
        <v>0</v>
      </c>
      <c r="V52" s="9">
        <v>170000</v>
      </c>
      <c r="W52" s="9">
        <v>0</v>
      </c>
      <c r="X52" s="9">
        <v>0</v>
      </c>
      <c r="Y52" s="9">
        <v>0</v>
      </c>
      <c r="Z52" s="9">
        <v>69096.45</v>
      </c>
      <c r="AA52" s="9">
        <v>135483.24</v>
      </c>
      <c r="AB52" s="9">
        <v>0.0</v>
      </c>
      <c r="AC52" s="9">
        <v>3654121</v>
      </c>
      <c r="AD52" s="9">
        <v>0</v>
      </c>
      <c r="AE52" s="9">
        <v>9505978.65</v>
      </c>
      <c r="AF52" s="9" t="s">
        <v>54</v>
      </c>
      <c r="AG52" s="11">
        <v>0.0175</v>
      </c>
      <c r="AH52" s="9">
        <v>-166354.0</v>
      </c>
      <c r="AI52" s="9">
        <v>-69096.45</v>
      </c>
      <c r="AJ52" s="9">
        <v>-67741.62</v>
      </c>
      <c r="AK52" s="9">
        <v>-135483.24</v>
      </c>
      <c r="AL52" s="9">
        <v>-33870.81</v>
      </c>
      <c r="AM52" s="9">
        <v>-33870.81</v>
      </c>
      <c r="AN52" s="9">
        <v>0</v>
      </c>
      <c r="AO52" s="9">
        <v>0</v>
      </c>
      <c r="AP52" s="9">
        <v>0</v>
      </c>
      <c r="AQ52" s="9">
        <v>0</v>
      </c>
      <c r="AR52" s="9">
        <f>SUM(AE52,AH52:AQ52)</f>
        <v>8999561.72</v>
      </c>
      <c r="AS52" s="9">
        <v>38.28</v>
      </c>
      <c r="AT52" s="9">
        <f>SUM(AR52:AS52)</f>
        <v>8999600</v>
      </c>
    </row>
    <row r="53" spans="1:46">
      <c r="A53" s="6">
        <v>46</v>
      </c>
      <c r="B53" s="6">
        <v>2025</v>
      </c>
      <c r="C53" s="6">
        <v>12</v>
      </c>
      <c r="D53" s="6"/>
      <c r="E53" s="6">
        <v>250700039</v>
      </c>
      <c r="F53" s="6" t="s">
        <v>176</v>
      </c>
      <c r="G53" s="6" t="s">
        <v>49</v>
      </c>
      <c r="H53" s="6" t="s">
        <v>62</v>
      </c>
      <c r="I53" s="6" t="s">
        <v>177</v>
      </c>
      <c r="J53" s="8" t="s">
        <v>177</v>
      </c>
      <c r="K53" s="6" t="s">
        <v>67</v>
      </c>
      <c r="L53" s="10" t="s">
        <v>68</v>
      </c>
      <c r="M53" s="10">
        <v>3387081.0</v>
      </c>
      <c r="N53" s="10">
        <v>11.0</v>
      </c>
      <c r="O53" s="10">
        <v>33.0</v>
      </c>
      <c r="P53" s="10">
        <v>0.0</v>
      </c>
      <c r="Q53" s="10">
        <v>0.0</v>
      </c>
      <c r="R53" s="10">
        <v>1862894.55</v>
      </c>
      <c r="S53" s="10">
        <v>1615226.49</v>
      </c>
      <c r="T53" s="10">
        <v>66000</v>
      </c>
      <c r="U53" s="10">
        <v>0</v>
      </c>
      <c r="V53" s="10">
        <v>110000</v>
      </c>
      <c r="W53" s="10">
        <v>0</v>
      </c>
      <c r="X53" s="10">
        <v>0</v>
      </c>
      <c r="Y53" s="10">
        <v>0</v>
      </c>
      <c r="Z53" s="10">
        <v>69096.45</v>
      </c>
      <c r="AA53" s="10">
        <v>135483.24</v>
      </c>
      <c r="AB53" s="10">
        <v>0.0</v>
      </c>
      <c r="AC53" s="10">
        <v>0</v>
      </c>
      <c r="AD53" s="10">
        <v>0</v>
      </c>
      <c r="AE53" s="10">
        <v>3858700.73</v>
      </c>
      <c r="AF53" s="10" t="s">
        <v>54</v>
      </c>
      <c r="AG53" s="12">
        <v>0.0</v>
      </c>
      <c r="AH53" s="10">
        <v>0.0</v>
      </c>
      <c r="AI53" s="10">
        <v>-69096.45</v>
      </c>
      <c r="AJ53" s="10">
        <v>-67741.62</v>
      </c>
      <c r="AK53" s="10">
        <v>-135483.24</v>
      </c>
      <c r="AL53" s="10">
        <v>-33870.81</v>
      </c>
      <c r="AM53" s="10">
        <v>-33870.81</v>
      </c>
      <c r="AN53" s="10">
        <v>0</v>
      </c>
      <c r="AO53" s="10">
        <v>0</v>
      </c>
      <c r="AP53" s="10">
        <v>0</v>
      </c>
      <c r="AQ53" s="10">
        <v>0</v>
      </c>
      <c r="AR53" s="10">
        <f>SUM(AE53,AH53:AQ53)</f>
        <v>3518637.8</v>
      </c>
      <c r="AS53" s="10">
        <v>-37.8</v>
      </c>
      <c r="AT53" s="10">
        <f>SUM(AR53:AS53)</f>
        <v>3518600</v>
      </c>
    </row>
    <row r="54" spans="1:46">
      <c r="A54" s="5">
        <v>47</v>
      </c>
      <c r="B54" s="5">
        <v>2025</v>
      </c>
      <c r="C54" s="5">
        <v>12</v>
      </c>
      <c r="D54" s="5"/>
      <c r="E54" s="5">
        <v>251100017</v>
      </c>
      <c r="F54" s="5" t="s">
        <v>178</v>
      </c>
      <c r="G54" s="5" t="s">
        <v>49</v>
      </c>
      <c r="H54" s="5" t="s">
        <v>62</v>
      </c>
      <c r="I54" s="5" t="s">
        <v>179</v>
      </c>
      <c r="J54" s="7" t="s">
        <v>179</v>
      </c>
      <c r="K54" s="5" t="s">
        <v>180</v>
      </c>
      <c r="L54" s="9" t="s">
        <v>97</v>
      </c>
      <c r="M54" s="9">
        <v>3387081.0</v>
      </c>
      <c r="N54" s="9">
        <v>14.0</v>
      </c>
      <c r="O54" s="9">
        <v>42.0</v>
      </c>
      <c r="P54" s="9">
        <v>0.0</v>
      </c>
      <c r="Q54" s="9">
        <v>0.0</v>
      </c>
      <c r="R54" s="9">
        <v>2370956.7</v>
      </c>
      <c r="S54" s="9">
        <v>2055742.8</v>
      </c>
      <c r="T54" s="9">
        <v>84000</v>
      </c>
      <c r="U54" s="9">
        <v>0</v>
      </c>
      <c r="V54" s="9">
        <v>140000</v>
      </c>
      <c r="W54" s="9">
        <v>0</v>
      </c>
      <c r="X54" s="9">
        <v>0</v>
      </c>
      <c r="Y54" s="9">
        <v>0</v>
      </c>
      <c r="Z54" s="9">
        <v>69096.45</v>
      </c>
      <c r="AA54" s="9">
        <v>135483.24</v>
      </c>
      <c r="AB54" s="9">
        <v>0.0</v>
      </c>
      <c r="AC54" s="9">
        <v>0</v>
      </c>
      <c r="AD54" s="9">
        <v>0</v>
      </c>
      <c r="AE54" s="9">
        <v>4855279.19</v>
      </c>
      <c r="AF54" s="9" t="s">
        <v>54</v>
      </c>
      <c r="AG54" s="11">
        <v>0.0</v>
      </c>
      <c r="AH54" s="9">
        <v>0.0</v>
      </c>
      <c r="AI54" s="9">
        <v>-69096.45</v>
      </c>
      <c r="AJ54" s="9">
        <v>-67741.62</v>
      </c>
      <c r="AK54" s="9">
        <v>-135483.24</v>
      </c>
      <c r="AL54" s="9">
        <v>-33870.81</v>
      </c>
      <c r="AM54" s="9">
        <v>-33870.81</v>
      </c>
      <c r="AN54" s="9">
        <v>0</v>
      </c>
      <c r="AO54" s="9">
        <v>0</v>
      </c>
      <c r="AP54" s="9">
        <v>0</v>
      </c>
      <c r="AQ54" s="9">
        <v>0</v>
      </c>
      <c r="AR54" s="9">
        <f>SUM(AE54,AH54:AQ54)</f>
        <v>4515216.26</v>
      </c>
      <c r="AS54" s="9">
        <v>-16.26</v>
      </c>
      <c r="AT54" s="9">
        <f>SUM(AR54:AS54)</f>
        <v>4515200</v>
      </c>
    </row>
    <row r="55" spans="1:46">
      <c r="A55" s="6">
        <v>48</v>
      </c>
      <c r="B55" s="6">
        <v>2025</v>
      </c>
      <c r="C55" s="6">
        <v>12</v>
      </c>
      <c r="D55" s="6"/>
      <c r="E55" s="6">
        <v>251100017</v>
      </c>
      <c r="F55" s="6" t="s">
        <v>178</v>
      </c>
      <c r="G55" s="6" t="s">
        <v>49</v>
      </c>
      <c r="H55" s="6" t="s">
        <v>62</v>
      </c>
      <c r="I55" s="6" t="s">
        <v>179</v>
      </c>
      <c r="J55" s="8" t="s">
        <v>179</v>
      </c>
      <c r="K55" s="6" t="s">
        <v>180</v>
      </c>
      <c r="L55" s="10" t="s">
        <v>97</v>
      </c>
      <c r="M55" s="10">
        <v>3387081.0</v>
      </c>
      <c r="N55" s="10">
        <v>14.0</v>
      </c>
      <c r="O55" s="10">
        <v>42.0</v>
      </c>
      <c r="P55" s="10">
        <v>0.0</v>
      </c>
      <c r="Q55" s="10">
        <v>0.0</v>
      </c>
      <c r="R55" s="10">
        <v>2370956.7</v>
      </c>
      <c r="S55" s="10">
        <v>2055742.8</v>
      </c>
      <c r="T55" s="10">
        <v>84000</v>
      </c>
      <c r="U55" s="10">
        <v>0</v>
      </c>
      <c r="V55" s="10">
        <v>140000</v>
      </c>
      <c r="W55" s="10">
        <v>0</v>
      </c>
      <c r="X55" s="10">
        <v>0</v>
      </c>
      <c r="Y55" s="10">
        <v>0</v>
      </c>
      <c r="Z55" s="10">
        <v>69096.45</v>
      </c>
      <c r="AA55" s="10">
        <v>135483.24</v>
      </c>
      <c r="AB55" s="10">
        <v>0.0</v>
      </c>
      <c r="AC55" s="10">
        <v>0</v>
      </c>
      <c r="AD55" s="10">
        <v>0</v>
      </c>
      <c r="AE55" s="10">
        <v>4855279.19</v>
      </c>
      <c r="AF55" s="10" t="s">
        <v>54</v>
      </c>
      <c r="AG55" s="12">
        <v>0.0</v>
      </c>
      <c r="AH55" s="10">
        <v>0.0</v>
      </c>
      <c r="AI55" s="10">
        <v>-69096.45</v>
      </c>
      <c r="AJ55" s="10">
        <v>-67741.62</v>
      </c>
      <c r="AK55" s="10">
        <v>-135483.24</v>
      </c>
      <c r="AL55" s="10">
        <v>-33870.81</v>
      </c>
      <c r="AM55" s="10">
        <v>-33870.81</v>
      </c>
      <c r="AN55" s="10">
        <v>0</v>
      </c>
      <c r="AO55" s="10">
        <v>0</v>
      </c>
      <c r="AP55" s="10">
        <v>0</v>
      </c>
      <c r="AQ55" s="10">
        <v>0</v>
      </c>
      <c r="AR55" s="10">
        <f>SUM(AE55,AH55:AQ55)</f>
        <v>4515216.26</v>
      </c>
      <c r="AS55" s="10">
        <v>-16.26</v>
      </c>
      <c r="AT55" s="10">
        <f>SUM(AR55:AS55)</f>
        <v>4515200</v>
      </c>
    </row>
    <row r="56" spans="1:46">
      <c r="A56" s="5">
        <v>49</v>
      </c>
      <c r="B56" s="5">
        <v>2025</v>
      </c>
      <c r="C56" s="5">
        <v>12</v>
      </c>
      <c r="D56" s="5"/>
      <c r="E56" s="5">
        <v>251100068</v>
      </c>
      <c r="F56" s="5" t="s">
        <v>181</v>
      </c>
      <c r="G56" s="5" t="s">
        <v>49</v>
      </c>
      <c r="H56" s="5" t="s">
        <v>62</v>
      </c>
      <c r="I56" s="5" t="s">
        <v>182</v>
      </c>
      <c r="J56" s="7" t="s">
        <v>182</v>
      </c>
      <c r="K56" s="5" t="s">
        <v>71</v>
      </c>
      <c r="L56" s="9" t="s">
        <v>68</v>
      </c>
      <c r="M56" s="9">
        <v>3387081.0</v>
      </c>
      <c r="N56" s="9">
        <v>13.0</v>
      </c>
      <c r="O56" s="9">
        <v>39.0</v>
      </c>
      <c r="P56" s="9">
        <v>0.0</v>
      </c>
      <c r="Q56" s="9">
        <v>0.0</v>
      </c>
      <c r="R56" s="9">
        <v>2201602.65</v>
      </c>
      <c r="S56" s="9">
        <v>1908904.04</v>
      </c>
      <c r="T56" s="9">
        <v>78000</v>
      </c>
      <c r="U56" s="9">
        <v>304837</v>
      </c>
      <c r="V56" s="9">
        <v>130000</v>
      </c>
      <c r="W56" s="9">
        <v>0</v>
      </c>
      <c r="X56" s="9">
        <v>0</v>
      </c>
      <c r="Y56" s="9">
        <v>0</v>
      </c>
      <c r="Z56" s="9">
        <v>69096.45</v>
      </c>
      <c r="AA56" s="9">
        <v>135483.24</v>
      </c>
      <c r="AB56" s="9">
        <v>0.0</v>
      </c>
      <c r="AC56" s="9">
        <v>0</v>
      </c>
      <c r="AD56" s="9">
        <v>0</v>
      </c>
      <c r="AE56" s="9">
        <v>4827923.38</v>
      </c>
      <c r="AF56" s="9" t="s">
        <v>54</v>
      </c>
      <c r="AG56" s="11">
        <v>0.0</v>
      </c>
      <c r="AH56" s="9">
        <v>0.0</v>
      </c>
      <c r="AI56" s="9">
        <v>-69096.45</v>
      </c>
      <c r="AJ56" s="9">
        <v>-67741.62</v>
      </c>
      <c r="AK56" s="9">
        <v>-135483.24</v>
      </c>
      <c r="AL56" s="9">
        <v>-33870.81</v>
      </c>
      <c r="AM56" s="9">
        <v>-33870.81</v>
      </c>
      <c r="AN56" s="9">
        <v>0</v>
      </c>
      <c r="AO56" s="9">
        <v>0</v>
      </c>
      <c r="AP56" s="9">
        <v>0</v>
      </c>
      <c r="AQ56" s="9">
        <v>0</v>
      </c>
      <c r="AR56" s="9">
        <f>SUM(AE56,AH56:AQ56)</f>
        <v>4487860.45</v>
      </c>
      <c r="AS56" s="9">
        <v>39.55</v>
      </c>
      <c r="AT56" s="9">
        <f>SUM(AR56:AS56)</f>
        <v>4487900</v>
      </c>
    </row>
    <row r="57" spans="1:46">
      <c r="A57" s="6">
        <v>50</v>
      </c>
      <c r="B57" s="6">
        <v>2025</v>
      </c>
      <c r="C57" s="6">
        <v>12</v>
      </c>
      <c r="D57" s="6"/>
      <c r="E57" s="6">
        <v>251100034</v>
      </c>
      <c r="F57" s="6" t="s">
        <v>183</v>
      </c>
      <c r="G57" s="6" t="s">
        <v>49</v>
      </c>
      <c r="H57" s="6" t="s">
        <v>56</v>
      </c>
      <c r="I57" s="6" t="s">
        <v>184</v>
      </c>
      <c r="J57" s="8" t="s">
        <v>184</v>
      </c>
      <c r="K57" s="6" t="s">
        <v>96</v>
      </c>
      <c r="L57" s="10" t="s">
        <v>100</v>
      </c>
      <c r="M57" s="10">
        <v>3387081.0</v>
      </c>
      <c r="N57" s="10">
        <v>20.0</v>
      </c>
      <c r="O57" s="10">
        <v>60.0</v>
      </c>
      <c r="P57" s="10">
        <v>0.0</v>
      </c>
      <c r="Q57" s="10">
        <v>0.0</v>
      </c>
      <c r="R57" s="10">
        <v>3387081.0</v>
      </c>
      <c r="S57" s="10">
        <v>2936775.44</v>
      </c>
      <c r="T57" s="10">
        <v>120000</v>
      </c>
      <c r="U57" s="10">
        <v>0</v>
      </c>
      <c r="V57" s="10">
        <v>200000</v>
      </c>
      <c r="W57" s="10">
        <v>0</v>
      </c>
      <c r="X57" s="10">
        <v>0</v>
      </c>
      <c r="Y57" s="10">
        <v>0</v>
      </c>
      <c r="Z57" s="10">
        <v>69096.45</v>
      </c>
      <c r="AA57" s="10">
        <v>135483.24</v>
      </c>
      <c r="AB57" s="10">
        <v>0.0</v>
      </c>
      <c r="AC57" s="10">
        <v>0</v>
      </c>
      <c r="AD57" s="10">
        <v>0</v>
      </c>
      <c r="AE57" s="10">
        <v>6848436.13</v>
      </c>
      <c r="AF57" s="10" t="s">
        <v>60</v>
      </c>
      <c r="AG57" s="12">
        <v>0.005</v>
      </c>
      <c r="AH57" s="10">
        <v>-34242.0</v>
      </c>
      <c r="AI57" s="10">
        <v>-69096.45</v>
      </c>
      <c r="AJ57" s="10">
        <v>-67741.62</v>
      </c>
      <c r="AK57" s="10">
        <v>-135483.24</v>
      </c>
      <c r="AL57" s="10">
        <v>-33870.81</v>
      </c>
      <c r="AM57" s="10">
        <v>-33870.81</v>
      </c>
      <c r="AN57" s="10">
        <v>0</v>
      </c>
      <c r="AO57" s="10">
        <v>0</v>
      </c>
      <c r="AP57" s="10">
        <v>0</v>
      </c>
      <c r="AQ57" s="10">
        <v>0</v>
      </c>
      <c r="AR57" s="10">
        <f>SUM(AE57,AH57:AQ57)</f>
        <v>6474131.2</v>
      </c>
      <c r="AS57" s="10">
        <v>-31.2</v>
      </c>
      <c r="AT57" s="10">
        <f>SUM(AR57:AS57)</f>
        <v>6474100</v>
      </c>
    </row>
    <row r="58" spans="1:46">
      <c r="A58" s="5">
        <v>51</v>
      </c>
      <c r="B58" s="5">
        <v>2025</v>
      </c>
      <c r="C58" s="5">
        <v>12</v>
      </c>
      <c r="D58" s="5"/>
      <c r="E58" s="5">
        <v>251100027</v>
      </c>
      <c r="F58" s="5" t="s">
        <v>185</v>
      </c>
      <c r="G58" s="5" t="s">
        <v>49</v>
      </c>
      <c r="H58" s="5" t="s">
        <v>83</v>
      </c>
      <c r="I58" s="5" t="s">
        <v>186</v>
      </c>
      <c r="J58" s="7" t="s">
        <v>186</v>
      </c>
      <c r="K58" s="5" t="s">
        <v>85</v>
      </c>
      <c r="L58" s="9" t="s">
        <v>126</v>
      </c>
      <c r="M58" s="9">
        <v>3387081.0</v>
      </c>
      <c r="N58" s="9">
        <v>8.0</v>
      </c>
      <c r="O58" s="9">
        <v>24.0</v>
      </c>
      <c r="P58" s="9">
        <v>0.0</v>
      </c>
      <c r="Q58" s="9">
        <v>0.0</v>
      </c>
      <c r="R58" s="9">
        <v>1354832.4</v>
      </c>
      <c r="S58" s="9">
        <v>1174710.17</v>
      </c>
      <c r="T58" s="9">
        <v>48000</v>
      </c>
      <c r="U58" s="9">
        <v>203225</v>
      </c>
      <c r="V58" s="9">
        <v>80000</v>
      </c>
      <c r="W58" s="9">
        <v>0</v>
      </c>
      <c r="X58" s="9">
        <v>0</v>
      </c>
      <c r="Y58" s="9">
        <v>0</v>
      </c>
      <c r="Z58" s="9">
        <v>69096.45</v>
      </c>
      <c r="AA58" s="9">
        <v>135483.24</v>
      </c>
      <c r="AB58" s="9">
        <v>0.0</v>
      </c>
      <c r="AC58" s="9">
        <v>0</v>
      </c>
      <c r="AD58" s="9">
        <v>0</v>
      </c>
      <c r="AE58" s="9">
        <v>3065347.26</v>
      </c>
      <c r="AF58" s="9" t="s">
        <v>60</v>
      </c>
      <c r="AG58" s="11">
        <v>0.0</v>
      </c>
      <c r="AH58" s="9">
        <v>0.0</v>
      </c>
      <c r="AI58" s="9">
        <v>-69096.45</v>
      </c>
      <c r="AJ58" s="9">
        <v>-67741.62</v>
      </c>
      <c r="AK58" s="9">
        <v>-135483.24</v>
      </c>
      <c r="AL58" s="9">
        <v>-33870.81</v>
      </c>
      <c r="AM58" s="9">
        <v>-33870.81</v>
      </c>
      <c r="AN58" s="9">
        <v>0</v>
      </c>
      <c r="AO58" s="9">
        <v>0</v>
      </c>
      <c r="AP58" s="9">
        <v>0</v>
      </c>
      <c r="AQ58" s="9">
        <v>0</v>
      </c>
      <c r="AR58" s="9">
        <f>SUM(AE58,AH58:AQ58)</f>
        <v>2725284.33</v>
      </c>
      <c r="AS58" s="9">
        <v>15.67</v>
      </c>
      <c r="AT58" s="9">
        <f>SUM(AR58:AS58)</f>
        <v>2725300</v>
      </c>
    </row>
    <row r="59" spans="1:46">
      <c r="A59" s="6">
        <v>52</v>
      </c>
      <c r="B59" s="6">
        <v>2025</v>
      </c>
      <c r="C59" s="6">
        <v>12</v>
      </c>
      <c r="D59" s="6"/>
      <c r="E59" s="6">
        <v>251100056</v>
      </c>
      <c r="F59" s="6" t="s">
        <v>187</v>
      </c>
      <c r="G59" s="6" t="s">
        <v>49</v>
      </c>
      <c r="H59" s="6" t="s">
        <v>50</v>
      </c>
      <c r="I59" s="6" t="s">
        <v>188</v>
      </c>
      <c r="J59" s="8" t="s">
        <v>188</v>
      </c>
      <c r="K59" s="6" t="s">
        <v>110</v>
      </c>
      <c r="L59" s="10" t="s">
        <v>133</v>
      </c>
      <c r="M59" s="10">
        <v>3387081.0</v>
      </c>
      <c r="N59" s="10">
        <v>2.0</v>
      </c>
      <c r="O59" s="10">
        <v>6.0</v>
      </c>
      <c r="P59" s="10">
        <v>0.0</v>
      </c>
      <c r="Q59" s="10">
        <v>0.0</v>
      </c>
      <c r="R59" s="10">
        <v>338708.1</v>
      </c>
      <c r="S59" s="10">
        <v>293677.54</v>
      </c>
      <c r="T59" s="10">
        <v>12000</v>
      </c>
      <c r="U59" s="10">
        <v>0</v>
      </c>
      <c r="V59" s="10">
        <v>20000</v>
      </c>
      <c r="W59" s="10">
        <v>0</v>
      </c>
      <c r="X59" s="10">
        <v>0</v>
      </c>
      <c r="Y59" s="10">
        <v>0</v>
      </c>
      <c r="Z59" s="10">
        <v>69096.45</v>
      </c>
      <c r="AA59" s="10">
        <v>135483.24</v>
      </c>
      <c r="AB59" s="10">
        <v>0.0</v>
      </c>
      <c r="AC59" s="10">
        <v>0</v>
      </c>
      <c r="AD59" s="10">
        <v>0</v>
      </c>
      <c r="AE59" s="10">
        <v>868965.33</v>
      </c>
      <c r="AF59" s="10" t="s">
        <v>54</v>
      </c>
      <c r="AG59" s="12">
        <v>0.0</v>
      </c>
      <c r="AH59" s="10">
        <v>0.0</v>
      </c>
      <c r="AI59" s="10">
        <v>-69096.45</v>
      </c>
      <c r="AJ59" s="10">
        <v>-67741.62</v>
      </c>
      <c r="AK59" s="10">
        <v>-135483.24</v>
      </c>
      <c r="AL59" s="10">
        <v>-33870.81</v>
      </c>
      <c r="AM59" s="10">
        <v>-33870.81</v>
      </c>
      <c r="AN59" s="10">
        <v>0</v>
      </c>
      <c r="AO59" s="10">
        <v>0</v>
      </c>
      <c r="AP59" s="10">
        <v>0</v>
      </c>
      <c r="AQ59" s="10">
        <v>0</v>
      </c>
      <c r="AR59" s="10">
        <f>SUM(AE59,AH59:AQ59)</f>
        <v>528902.4</v>
      </c>
      <c r="AS59" s="10">
        <v>-2.4</v>
      </c>
      <c r="AT59" s="10">
        <f>SUM(AR59:AS59)</f>
        <v>528900</v>
      </c>
    </row>
    <row r="60" spans="1:46">
      <c r="A60" s="5">
        <v>53</v>
      </c>
      <c r="B60" s="5">
        <v>2025</v>
      </c>
      <c r="C60" s="5">
        <v>12</v>
      </c>
      <c r="D60" s="5"/>
      <c r="E60" s="5">
        <v>251100041</v>
      </c>
      <c r="F60" s="5" t="s">
        <v>189</v>
      </c>
      <c r="G60" s="5" t="s">
        <v>49</v>
      </c>
      <c r="H60" s="5" t="s">
        <v>50</v>
      </c>
      <c r="I60" s="5" t="s">
        <v>190</v>
      </c>
      <c r="J60" s="7" t="s">
        <v>190</v>
      </c>
      <c r="K60" s="5" t="s">
        <v>58</v>
      </c>
      <c r="L60" s="9" t="s">
        <v>100</v>
      </c>
      <c r="M60" s="9">
        <v>3387081.0</v>
      </c>
      <c r="N60" s="9">
        <v>11.0</v>
      </c>
      <c r="O60" s="9">
        <v>33.0</v>
      </c>
      <c r="P60" s="9">
        <v>0.0</v>
      </c>
      <c r="Q60" s="9">
        <v>0.0</v>
      </c>
      <c r="R60" s="9">
        <v>1862894.55</v>
      </c>
      <c r="S60" s="9">
        <v>1615226.49</v>
      </c>
      <c r="T60" s="9">
        <v>66000</v>
      </c>
      <c r="U60" s="9">
        <v>177822</v>
      </c>
      <c r="V60" s="9">
        <v>110000</v>
      </c>
      <c r="W60" s="9">
        <v>0</v>
      </c>
      <c r="X60" s="9">
        <v>0</v>
      </c>
      <c r="Y60" s="9">
        <v>0</v>
      </c>
      <c r="Z60" s="9">
        <v>69096.45</v>
      </c>
      <c r="AA60" s="9">
        <v>135483.24</v>
      </c>
      <c r="AB60" s="9">
        <v>0.0</v>
      </c>
      <c r="AC60" s="9">
        <v>0</v>
      </c>
      <c r="AD60" s="9">
        <v>0</v>
      </c>
      <c r="AE60" s="9">
        <v>4036522.73</v>
      </c>
      <c r="AF60" s="9" t="s">
        <v>54</v>
      </c>
      <c r="AG60" s="11">
        <v>0.0</v>
      </c>
      <c r="AH60" s="9">
        <v>0.0</v>
      </c>
      <c r="AI60" s="9">
        <v>-69096.45</v>
      </c>
      <c r="AJ60" s="9">
        <v>-67741.62</v>
      </c>
      <c r="AK60" s="9">
        <v>-135483.24</v>
      </c>
      <c r="AL60" s="9">
        <v>-33870.81</v>
      </c>
      <c r="AM60" s="9">
        <v>-33870.81</v>
      </c>
      <c r="AN60" s="9">
        <v>0</v>
      </c>
      <c r="AO60" s="9">
        <v>0</v>
      </c>
      <c r="AP60" s="9">
        <v>0</v>
      </c>
      <c r="AQ60" s="9">
        <v>0</v>
      </c>
      <c r="AR60" s="9">
        <f>SUM(AE60,AH60:AQ60)</f>
        <v>3696459.8</v>
      </c>
      <c r="AS60" s="9">
        <v>40.2</v>
      </c>
      <c r="AT60" s="9">
        <f>SUM(AR60:AS60)</f>
        <v>3696500</v>
      </c>
    </row>
    <row r="61" spans="1:46">
      <c r="A61" s="6">
        <v>54</v>
      </c>
      <c r="B61" s="6">
        <v>2025</v>
      </c>
      <c r="C61" s="6">
        <v>12</v>
      </c>
      <c r="D61" s="6"/>
      <c r="E61" s="6">
        <v>251100020</v>
      </c>
      <c r="F61" s="6" t="s">
        <v>191</v>
      </c>
      <c r="G61" s="6" t="s">
        <v>49</v>
      </c>
      <c r="H61" s="6" t="s">
        <v>91</v>
      </c>
      <c r="I61" s="6" t="s">
        <v>192</v>
      </c>
      <c r="J61" s="8" t="s">
        <v>192</v>
      </c>
      <c r="K61" s="6" t="s">
        <v>180</v>
      </c>
      <c r="L61" s="10" t="s">
        <v>59</v>
      </c>
      <c r="M61" s="10">
        <v>3387081.0</v>
      </c>
      <c r="N61" s="10">
        <v>21.0</v>
      </c>
      <c r="O61" s="10">
        <v>63.0</v>
      </c>
      <c r="P61" s="10">
        <v>0.0</v>
      </c>
      <c r="Q61" s="10">
        <v>0.0</v>
      </c>
      <c r="R61" s="10">
        <v>3556435.05</v>
      </c>
      <c r="S61" s="10">
        <v>3083614.2</v>
      </c>
      <c r="T61" s="10">
        <v>126000</v>
      </c>
      <c r="U61" s="10">
        <v>0</v>
      </c>
      <c r="V61" s="10">
        <v>210000</v>
      </c>
      <c r="W61" s="10">
        <v>0</v>
      </c>
      <c r="X61" s="10">
        <v>0</v>
      </c>
      <c r="Y61" s="10">
        <v>0</v>
      </c>
      <c r="Z61" s="10">
        <v>69096.45</v>
      </c>
      <c r="AA61" s="10">
        <v>135483.24</v>
      </c>
      <c r="AB61" s="10">
        <v>0.0</v>
      </c>
      <c r="AC61" s="10">
        <v>0</v>
      </c>
      <c r="AD61" s="10">
        <v>0</v>
      </c>
      <c r="AE61" s="10">
        <v>7180628.94</v>
      </c>
      <c r="AF61" s="10" t="s">
        <v>93</v>
      </c>
      <c r="AG61" s="12">
        <v>0.005</v>
      </c>
      <c r="AH61" s="10">
        <v>-35903.0</v>
      </c>
      <c r="AI61" s="10">
        <v>-69096.45</v>
      </c>
      <c r="AJ61" s="10">
        <v>-67741.62</v>
      </c>
      <c r="AK61" s="10">
        <v>-135483.24</v>
      </c>
      <c r="AL61" s="10">
        <v>-33870.81</v>
      </c>
      <c r="AM61" s="10">
        <v>-33870.81</v>
      </c>
      <c r="AN61" s="10">
        <v>0</v>
      </c>
      <c r="AO61" s="10">
        <v>0</v>
      </c>
      <c r="AP61" s="10">
        <v>0</v>
      </c>
      <c r="AQ61" s="10">
        <v>0</v>
      </c>
      <c r="AR61" s="10">
        <f>SUM(AE61,AH61:AQ61)</f>
        <v>6804663.01</v>
      </c>
      <c r="AS61" s="10">
        <v>36.99</v>
      </c>
      <c r="AT61" s="10">
        <f>SUM(AR61:AS61)</f>
        <v>6804700</v>
      </c>
    </row>
    <row r="62" spans="1:46">
      <c r="A62" s="5">
        <v>55</v>
      </c>
      <c r="B62" s="5">
        <v>2025</v>
      </c>
      <c r="C62" s="5">
        <v>12</v>
      </c>
      <c r="D62" s="5"/>
      <c r="E62" s="5">
        <v>251100018</v>
      </c>
      <c r="F62" s="5" t="s">
        <v>193</v>
      </c>
      <c r="G62" s="5" t="s">
        <v>49</v>
      </c>
      <c r="H62" s="5" t="s">
        <v>56</v>
      </c>
      <c r="I62" s="5" t="s">
        <v>194</v>
      </c>
      <c r="J62" s="7" t="s">
        <v>194</v>
      </c>
      <c r="K62" s="5" t="s">
        <v>180</v>
      </c>
      <c r="L62" s="9" t="s">
        <v>126</v>
      </c>
      <c r="M62" s="9">
        <v>3387081.0</v>
      </c>
      <c r="N62" s="9">
        <v>20.0</v>
      </c>
      <c r="O62" s="9">
        <v>60.0</v>
      </c>
      <c r="P62" s="9">
        <v>0.0</v>
      </c>
      <c r="Q62" s="9">
        <v>0.0</v>
      </c>
      <c r="R62" s="9">
        <v>3387081.0</v>
      </c>
      <c r="S62" s="9">
        <v>2936775.44</v>
      </c>
      <c r="T62" s="9">
        <v>120000</v>
      </c>
      <c r="U62" s="9">
        <v>0</v>
      </c>
      <c r="V62" s="9">
        <v>200000</v>
      </c>
      <c r="W62" s="9">
        <v>0</v>
      </c>
      <c r="X62" s="9">
        <v>0</v>
      </c>
      <c r="Y62" s="9">
        <v>0</v>
      </c>
      <c r="Z62" s="9">
        <v>69096.45</v>
      </c>
      <c r="AA62" s="9">
        <v>135483.24</v>
      </c>
      <c r="AB62" s="9">
        <v>0.0</v>
      </c>
      <c r="AC62" s="9">
        <v>0</v>
      </c>
      <c r="AD62" s="9">
        <v>0</v>
      </c>
      <c r="AE62" s="9">
        <v>6848436.13</v>
      </c>
      <c r="AF62" s="9" t="s">
        <v>60</v>
      </c>
      <c r="AG62" s="11">
        <v>0.005</v>
      </c>
      <c r="AH62" s="9">
        <v>-34242.0</v>
      </c>
      <c r="AI62" s="9">
        <v>-69096.45</v>
      </c>
      <c r="AJ62" s="9">
        <v>-67741.62</v>
      </c>
      <c r="AK62" s="9">
        <v>-135483.24</v>
      </c>
      <c r="AL62" s="9">
        <v>-33870.81</v>
      </c>
      <c r="AM62" s="9">
        <v>-33870.81</v>
      </c>
      <c r="AN62" s="9">
        <v>0</v>
      </c>
      <c r="AO62" s="9">
        <v>0</v>
      </c>
      <c r="AP62" s="9">
        <v>0</v>
      </c>
      <c r="AQ62" s="9">
        <v>0</v>
      </c>
      <c r="AR62" s="9">
        <f>SUM(AE62,AH62:AQ62)</f>
        <v>6474131.2</v>
      </c>
      <c r="AS62" s="9">
        <v>-31.2</v>
      </c>
      <c r="AT62" s="9">
        <f>SUM(AR62:AS62)</f>
        <v>6474100</v>
      </c>
    </row>
    <row r="63" spans="1:46">
      <c r="A63" s="6">
        <v>56</v>
      </c>
      <c r="B63" s="6">
        <v>2025</v>
      </c>
      <c r="C63" s="6">
        <v>12</v>
      </c>
      <c r="D63" s="6"/>
      <c r="E63" s="6">
        <v>251100043</v>
      </c>
      <c r="F63" s="6" t="s">
        <v>195</v>
      </c>
      <c r="G63" s="6" t="s">
        <v>49</v>
      </c>
      <c r="H63" s="6" t="s">
        <v>91</v>
      </c>
      <c r="I63" s="6" t="s">
        <v>196</v>
      </c>
      <c r="J63" s="8" t="s">
        <v>196</v>
      </c>
      <c r="K63" s="6" t="s">
        <v>58</v>
      </c>
      <c r="L63" s="10" t="s">
        <v>197</v>
      </c>
      <c r="M63" s="10">
        <v>3387081.0</v>
      </c>
      <c r="N63" s="10">
        <v>9.0</v>
      </c>
      <c r="O63" s="10">
        <v>27.0</v>
      </c>
      <c r="P63" s="10">
        <v>0.0</v>
      </c>
      <c r="Q63" s="10">
        <v>0.0</v>
      </c>
      <c r="R63" s="10">
        <v>1524186.45</v>
      </c>
      <c r="S63" s="10">
        <v>1321548.95</v>
      </c>
      <c r="T63" s="10">
        <v>54000</v>
      </c>
      <c r="U63" s="10">
        <v>50806</v>
      </c>
      <c r="V63" s="10">
        <v>90000</v>
      </c>
      <c r="W63" s="10">
        <v>0</v>
      </c>
      <c r="X63" s="10">
        <v>0</v>
      </c>
      <c r="Y63" s="10">
        <v>0</v>
      </c>
      <c r="Z63" s="10">
        <v>69096.45</v>
      </c>
      <c r="AA63" s="10">
        <v>135483.24</v>
      </c>
      <c r="AB63" s="10">
        <v>0.0</v>
      </c>
      <c r="AC63" s="10">
        <v>0</v>
      </c>
      <c r="AD63" s="10">
        <v>0</v>
      </c>
      <c r="AE63" s="10">
        <v>3245121.09</v>
      </c>
      <c r="AF63" s="10" t="s">
        <v>93</v>
      </c>
      <c r="AG63" s="12">
        <v>0.0</v>
      </c>
      <c r="AH63" s="10">
        <v>0.0</v>
      </c>
      <c r="AI63" s="10">
        <v>-69096.45</v>
      </c>
      <c r="AJ63" s="10">
        <v>-67741.62</v>
      </c>
      <c r="AK63" s="10">
        <v>-135483.24</v>
      </c>
      <c r="AL63" s="10">
        <v>-33870.81</v>
      </c>
      <c r="AM63" s="10">
        <v>-33870.81</v>
      </c>
      <c r="AN63" s="10">
        <v>0</v>
      </c>
      <c r="AO63" s="10">
        <v>0</v>
      </c>
      <c r="AP63" s="10">
        <v>0</v>
      </c>
      <c r="AQ63" s="10">
        <v>0</v>
      </c>
      <c r="AR63" s="10">
        <f>SUM(AE63,AH63:AQ63)</f>
        <v>2905058.16</v>
      </c>
      <c r="AS63" s="10">
        <v>41.84</v>
      </c>
      <c r="AT63" s="10">
        <f>SUM(AR63:AS63)</f>
        <v>2905100</v>
      </c>
    </row>
    <row r="64" spans="1:46">
      <c r="A64" s="5">
        <v>57</v>
      </c>
      <c r="B64" s="5">
        <v>2025</v>
      </c>
      <c r="C64" s="5">
        <v>12</v>
      </c>
      <c r="D64" s="5"/>
      <c r="E64" s="5">
        <v>251100025</v>
      </c>
      <c r="F64" s="5" t="s">
        <v>198</v>
      </c>
      <c r="G64" s="5" t="s">
        <v>49</v>
      </c>
      <c r="H64" s="5" t="s">
        <v>83</v>
      </c>
      <c r="I64" s="5" t="s">
        <v>199</v>
      </c>
      <c r="J64" s="7" t="s">
        <v>199</v>
      </c>
      <c r="K64" s="5" t="s">
        <v>85</v>
      </c>
      <c r="L64" s="9" t="s">
        <v>100</v>
      </c>
      <c r="M64" s="9">
        <v>3387081.0</v>
      </c>
      <c r="N64" s="9">
        <v>30.0</v>
      </c>
      <c r="O64" s="9">
        <v>90.0</v>
      </c>
      <c r="P64" s="9">
        <v>0.0</v>
      </c>
      <c r="Q64" s="9">
        <v>0.0</v>
      </c>
      <c r="R64" s="9">
        <v>5080621.5</v>
      </c>
      <c r="S64" s="9">
        <v>4405163.15</v>
      </c>
      <c r="T64" s="9">
        <v>180000</v>
      </c>
      <c r="U64" s="9">
        <v>0</v>
      </c>
      <c r="V64" s="9">
        <v>300000</v>
      </c>
      <c r="W64" s="9">
        <v>0</v>
      </c>
      <c r="X64" s="9">
        <v>0</v>
      </c>
      <c r="Y64" s="9">
        <v>0</v>
      </c>
      <c r="Z64" s="9">
        <v>69096.45</v>
      </c>
      <c r="AA64" s="9">
        <v>135483.24</v>
      </c>
      <c r="AB64" s="9">
        <v>0.0</v>
      </c>
      <c r="AC64" s="9">
        <v>0</v>
      </c>
      <c r="AD64" s="9">
        <v>0</v>
      </c>
      <c r="AE64" s="9">
        <v>10170364.34</v>
      </c>
      <c r="AF64" s="9" t="s">
        <v>60</v>
      </c>
      <c r="AG64" s="11">
        <v>0.015</v>
      </c>
      <c r="AH64" s="9">
        <v>-152555.0</v>
      </c>
      <c r="AI64" s="9">
        <v>-69096.45</v>
      </c>
      <c r="AJ64" s="9">
        <v>-67741.62</v>
      </c>
      <c r="AK64" s="9">
        <v>-135483.24</v>
      </c>
      <c r="AL64" s="9">
        <v>-33870.81</v>
      </c>
      <c r="AM64" s="9">
        <v>-33870.81</v>
      </c>
      <c r="AN64" s="9">
        <v>0</v>
      </c>
      <c r="AO64" s="9">
        <v>0</v>
      </c>
      <c r="AP64" s="9">
        <v>0</v>
      </c>
      <c r="AQ64" s="9">
        <v>0</v>
      </c>
      <c r="AR64" s="9">
        <f>SUM(AE64,AH64:AQ64)</f>
        <v>9677746.41</v>
      </c>
      <c r="AS64" s="9">
        <v>-46.41</v>
      </c>
      <c r="AT64" s="9">
        <f>SUM(AR64:AS64)</f>
        <v>9677700</v>
      </c>
    </row>
    <row r="65" spans="1:46">
      <c r="A65" s="6">
        <v>58</v>
      </c>
      <c r="B65" s="6">
        <v>2025</v>
      </c>
      <c r="C65" s="6">
        <v>12</v>
      </c>
      <c r="D65" s="6"/>
      <c r="E65" s="6">
        <v>250700037</v>
      </c>
      <c r="F65" s="6" t="s">
        <v>200</v>
      </c>
      <c r="G65" s="6" t="s">
        <v>49</v>
      </c>
      <c r="H65" s="6" t="s">
        <v>83</v>
      </c>
      <c r="I65" s="6" t="s">
        <v>201</v>
      </c>
      <c r="J65" s="8" t="s">
        <v>201</v>
      </c>
      <c r="K65" s="6" t="s">
        <v>81</v>
      </c>
      <c r="L65" s="10" t="s">
        <v>68</v>
      </c>
      <c r="M65" s="10">
        <v>3387081.0</v>
      </c>
      <c r="N65" s="10">
        <v>17.0</v>
      </c>
      <c r="O65" s="10">
        <v>51.0</v>
      </c>
      <c r="P65" s="10">
        <v>0.0</v>
      </c>
      <c r="Q65" s="10">
        <v>0.0</v>
      </c>
      <c r="R65" s="10">
        <v>2879018.85</v>
      </c>
      <c r="S65" s="10">
        <v>2496259.11</v>
      </c>
      <c r="T65" s="10">
        <v>102000</v>
      </c>
      <c r="U65" s="10">
        <v>431853</v>
      </c>
      <c r="V65" s="10">
        <v>170000</v>
      </c>
      <c r="W65" s="10">
        <v>0</v>
      </c>
      <c r="X65" s="10">
        <v>0</v>
      </c>
      <c r="Y65" s="10">
        <v>0</v>
      </c>
      <c r="Z65" s="10">
        <v>69096.45</v>
      </c>
      <c r="AA65" s="10">
        <v>135483.24</v>
      </c>
      <c r="AB65" s="10">
        <v>0.0</v>
      </c>
      <c r="AC65" s="10">
        <v>0</v>
      </c>
      <c r="AD65" s="10">
        <v>0</v>
      </c>
      <c r="AE65" s="10">
        <v>6283710.65</v>
      </c>
      <c r="AF65" s="10" t="s">
        <v>60</v>
      </c>
      <c r="AG65" s="12">
        <v>0.0025</v>
      </c>
      <c r="AH65" s="10">
        <v>-15709.0</v>
      </c>
      <c r="AI65" s="10">
        <v>-69096.45</v>
      </c>
      <c r="AJ65" s="10">
        <v>-67741.62</v>
      </c>
      <c r="AK65" s="10">
        <v>-135483.24</v>
      </c>
      <c r="AL65" s="10">
        <v>-33870.81</v>
      </c>
      <c r="AM65" s="10">
        <v>-33870.81</v>
      </c>
      <c r="AN65" s="10">
        <v>0</v>
      </c>
      <c r="AO65" s="10">
        <v>0</v>
      </c>
      <c r="AP65" s="10">
        <v>0</v>
      </c>
      <c r="AQ65" s="10">
        <v>0</v>
      </c>
      <c r="AR65" s="10">
        <f>SUM(AE65,AH65:AQ65)</f>
        <v>5927938.72</v>
      </c>
      <c r="AS65" s="10">
        <v>-38.72</v>
      </c>
      <c r="AT65" s="10">
        <f>SUM(AR65:AS65)</f>
        <v>5927900</v>
      </c>
    </row>
    <row r="66" spans="1:46">
      <c r="A66" s="5">
        <v>59</v>
      </c>
      <c r="B66" s="5">
        <v>2025</v>
      </c>
      <c r="C66" s="5">
        <v>12</v>
      </c>
      <c r="D66" s="5"/>
      <c r="E66" s="5">
        <v>251100080</v>
      </c>
      <c r="F66" s="5" t="s">
        <v>202</v>
      </c>
      <c r="G66" s="5" t="s">
        <v>49</v>
      </c>
      <c r="H66" s="5" t="s">
        <v>50</v>
      </c>
      <c r="I66" s="5" t="s">
        <v>203</v>
      </c>
      <c r="J66" s="7" t="s">
        <v>203</v>
      </c>
      <c r="K66" s="5" t="s">
        <v>180</v>
      </c>
      <c r="L66" s="9" t="s">
        <v>100</v>
      </c>
      <c r="M66" s="9">
        <v>3387081.0</v>
      </c>
      <c r="N66" s="9">
        <v>14.0</v>
      </c>
      <c r="O66" s="9">
        <v>46.0</v>
      </c>
      <c r="P66" s="9">
        <v>0.0</v>
      </c>
      <c r="Q66" s="9">
        <v>0.0</v>
      </c>
      <c r="R66" s="9">
        <v>2370956.7</v>
      </c>
      <c r="S66" s="9">
        <v>2212370.83</v>
      </c>
      <c r="T66" s="9">
        <v>84000</v>
      </c>
      <c r="U66" s="9">
        <v>101612</v>
      </c>
      <c r="V66" s="9">
        <v>140000</v>
      </c>
      <c r="W66" s="9">
        <v>0</v>
      </c>
      <c r="X66" s="9">
        <v>0</v>
      </c>
      <c r="Y66" s="9">
        <v>0</v>
      </c>
      <c r="Z66" s="9">
        <v>69096.45</v>
      </c>
      <c r="AA66" s="9">
        <v>135483.24</v>
      </c>
      <c r="AB66" s="9">
        <v>0.0</v>
      </c>
      <c r="AC66" s="9">
        <v>0</v>
      </c>
      <c r="AD66" s="9">
        <v>0</v>
      </c>
      <c r="AE66" s="9">
        <v>5113519.22</v>
      </c>
      <c r="AF66" s="9" t="s">
        <v>54</v>
      </c>
      <c r="AG66" s="11">
        <v>0.0</v>
      </c>
      <c r="AH66" s="9">
        <v>0.0</v>
      </c>
      <c r="AI66" s="9">
        <v>-69096.45</v>
      </c>
      <c r="AJ66" s="9">
        <v>-67741.62</v>
      </c>
      <c r="AK66" s="9">
        <v>-135483.24</v>
      </c>
      <c r="AL66" s="9">
        <v>-33870.81</v>
      </c>
      <c r="AM66" s="9">
        <v>-33870.81</v>
      </c>
      <c r="AN66" s="9">
        <v>0</v>
      </c>
      <c r="AO66" s="9">
        <v>0</v>
      </c>
      <c r="AP66" s="9">
        <v>0</v>
      </c>
      <c r="AQ66" s="9">
        <v>0</v>
      </c>
      <c r="AR66" s="9">
        <f>SUM(AE66,AH66:AQ66)</f>
        <v>4773456.29</v>
      </c>
      <c r="AS66" s="9">
        <v>43.71</v>
      </c>
      <c r="AT66" s="9">
        <f>SUM(AR66:AS66)</f>
        <v>4773500</v>
      </c>
    </row>
    <row r="67" spans="1:46">
      <c r="A67" s="6">
        <v>60</v>
      </c>
      <c r="B67" s="6">
        <v>2025</v>
      </c>
      <c r="C67" s="6">
        <v>12</v>
      </c>
      <c r="D67" s="6"/>
      <c r="E67" s="6">
        <v>251100032</v>
      </c>
      <c r="F67" s="6" t="s">
        <v>204</v>
      </c>
      <c r="G67" s="6" t="s">
        <v>87</v>
      </c>
      <c r="H67" s="6" t="s">
        <v>62</v>
      </c>
      <c r="I67" s="6" t="s">
        <v>205</v>
      </c>
      <c r="J67" s="8" t="s">
        <v>205</v>
      </c>
      <c r="K67" s="6" t="s">
        <v>166</v>
      </c>
      <c r="L67" s="10" t="s">
        <v>126</v>
      </c>
      <c r="M67" s="10">
        <v>3387081.0</v>
      </c>
      <c r="N67" s="10">
        <v>10.0</v>
      </c>
      <c r="O67" s="10">
        <v>30.0</v>
      </c>
      <c r="P67" s="10">
        <v>0.0</v>
      </c>
      <c r="Q67" s="10">
        <v>0.0</v>
      </c>
      <c r="R67" s="10">
        <v>1693540.5</v>
      </c>
      <c r="S67" s="10">
        <v>1468387.71</v>
      </c>
      <c r="T67" s="10">
        <v>60000</v>
      </c>
      <c r="U67" s="10">
        <v>0</v>
      </c>
      <c r="V67" s="10">
        <v>100000</v>
      </c>
      <c r="W67" s="10">
        <v>0</v>
      </c>
      <c r="X67" s="10">
        <v>0</v>
      </c>
      <c r="Y67" s="10">
        <v>0</v>
      </c>
      <c r="Z67" s="10">
        <v>69096.45</v>
      </c>
      <c r="AA67" s="10">
        <v>135483.24</v>
      </c>
      <c r="AB67" s="10">
        <v>0.0</v>
      </c>
      <c r="AC67" s="10">
        <v>0</v>
      </c>
      <c r="AD67" s="10">
        <v>0</v>
      </c>
      <c r="AE67" s="10">
        <v>3526507.9</v>
      </c>
      <c r="AF67" s="10" t="s">
        <v>54</v>
      </c>
      <c r="AG67" s="12">
        <v>0.0</v>
      </c>
      <c r="AH67" s="10">
        <v>0.0</v>
      </c>
      <c r="AI67" s="10">
        <v>-69096.45</v>
      </c>
      <c r="AJ67" s="10">
        <v>-67741.62</v>
      </c>
      <c r="AK67" s="10">
        <v>-135483.24</v>
      </c>
      <c r="AL67" s="10">
        <v>-33870.81</v>
      </c>
      <c r="AM67" s="10">
        <v>-33870.81</v>
      </c>
      <c r="AN67" s="10">
        <v>0</v>
      </c>
      <c r="AO67" s="10">
        <v>0</v>
      </c>
      <c r="AP67" s="10">
        <v>0</v>
      </c>
      <c r="AQ67" s="10">
        <v>0</v>
      </c>
      <c r="AR67" s="10">
        <f>SUM(AE67,AH67:AQ67)</f>
        <v>3186444.97</v>
      </c>
      <c r="AS67" s="10">
        <v>-44.97</v>
      </c>
      <c r="AT67" s="10">
        <f>SUM(AR67:AS67)</f>
        <v>3186400</v>
      </c>
    </row>
    <row r="68" spans="1:46">
      <c r="A68" s="5">
        <v>61</v>
      </c>
      <c r="B68" s="5">
        <v>2025</v>
      </c>
      <c r="C68" s="5">
        <v>12</v>
      </c>
      <c r="D68" s="5"/>
      <c r="E68" s="5">
        <v>251100091</v>
      </c>
      <c r="F68" s="5" t="s">
        <v>206</v>
      </c>
      <c r="G68" s="5" t="s">
        <v>49</v>
      </c>
      <c r="H68" s="5" t="s">
        <v>50</v>
      </c>
      <c r="I68" s="5" t="s">
        <v>207</v>
      </c>
      <c r="J68" s="7" t="s">
        <v>207</v>
      </c>
      <c r="K68" s="5" t="s">
        <v>81</v>
      </c>
      <c r="L68" s="9" t="s">
        <v>68</v>
      </c>
      <c r="M68" s="9">
        <v>3387081.0</v>
      </c>
      <c r="N68" s="9">
        <v>15.0</v>
      </c>
      <c r="O68" s="9">
        <v>45.0</v>
      </c>
      <c r="P68" s="9">
        <v>0.0</v>
      </c>
      <c r="Q68" s="9">
        <v>0.0</v>
      </c>
      <c r="R68" s="9">
        <v>2540310.75</v>
      </c>
      <c r="S68" s="9">
        <v>2202581.58</v>
      </c>
      <c r="T68" s="9">
        <v>90000</v>
      </c>
      <c r="U68" s="9">
        <v>127016</v>
      </c>
      <c r="V68" s="9">
        <v>150000</v>
      </c>
      <c r="W68" s="9">
        <v>0</v>
      </c>
      <c r="X68" s="9">
        <v>0</v>
      </c>
      <c r="Y68" s="9">
        <v>0</v>
      </c>
      <c r="Z68" s="9">
        <v>69096.45</v>
      </c>
      <c r="AA68" s="9">
        <v>135483.24</v>
      </c>
      <c r="AB68" s="9">
        <v>0.0</v>
      </c>
      <c r="AC68" s="9">
        <v>0</v>
      </c>
      <c r="AD68" s="9">
        <v>0</v>
      </c>
      <c r="AE68" s="9">
        <v>5314488.02</v>
      </c>
      <c r="AF68" s="9" t="s">
        <v>54</v>
      </c>
      <c r="AG68" s="11">
        <v>0.0</v>
      </c>
      <c r="AH68" s="9">
        <v>0.0</v>
      </c>
      <c r="AI68" s="9">
        <v>-69096.45</v>
      </c>
      <c r="AJ68" s="9">
        <v>-67741.62</v>
      </c>
      <c r="AK68" s="9">
        <v>-135483.24</v>
      </c>
      <c r="AL68" s="9">
        <v>-33870.81</v>
      </c>
      <c r="AM68" s="9">
        <v>-33870.81</v>
      </c>
      <c r="AN68" s="9">
        <v>0</v>
      </c>
      <c r="AO68" s="9">
        <v>0</v>
      </c>
      <c r="AP68" s="9">
        <v>0</v>
      </c>
      <c r="AQ68" s="9">
        <v>0</v>
      </c>
      <c r="AR68" s="9">
        <f>SUM(AE68,AH68:AQ68)</f>
        <v>4974425.09</v>
      </c>
      <c r="AS68" s="9">
        <v>-25.09</v>
      </c>
      <c r="AT68" s="9">
        <f>SUM(AR68:AS68)</f>
        <v>4974400</v>
      </c>
    </row>
    <row r="69" spans="1:46">
      <c r="A69" s="6">
        <v>62</v>
      </c>
      <c r="B69" s="6">
        <v>2025</v>
      </c>
      <c r="C69" s="6">
        <v>12</v>
      </c>
      <c r="D69" s="6"/>
      <c r="E69" s="6">
        <v>251100050</v>
      </c>
      <c r="F69" s="6" t="s">
        <v>208</v>
      </c>
      <c r="G69" s="6" t="s">
        <v>49</v>
      </c>
      <c r="H69" s="6" t="s">
        <v>91</v>
      </c>
      <c r="I69" s="6" t="s">
        <v>209</v>
      </c>
      <c r="J69" s="8" t="s">
        <v>209</v>
      </c>
      <c r="K69" s="6" t="s">
        <v>58</v>
      </c>
      <c r="L69" s="10" t="s">
        <v>126</v>
      </c>
      <c r="M69" s="10">
        <v>3387081.0</v>
      </c>
      <c r="N69" s="10">
        <v>13.0</v>
      </c>
      <c r="O69" s="10">
        <v>39.0</v>
      </c>
      <c r="P69" s="10">
        <v>0.0</v>
      </c>
      <c r="Q69" s="10">
        <v>0.0</v>
      </c>
      <c r="R69" s="10">
        <v>2201602.65</v>
      </c>
      <c r="S69" s="10">
        <v>1908904.04</v>
      </c>
      <c r="T69" s="10">
        <v>78000</v>
      </c>
      <c r="U69" s="10">
        <v>330240</v>
      </c>
      <c r="V69" s="10">
        <v>130000</v>
      </c>
      <c r="W69" s="10">
        <v>0</v>
      </c>
      <c r="X69" s="10">
        <v>0</v>
      </c>
      <c r="Y69" s="10">
        <v>0</v>
      </c>
      <c r="Z69" s="10">
        <v>69096.45</v>
      </c>
      <c r="AA69" s="10">
        <v>135483.24</v>
      </c>
      <c r="AB69" s="10">
        <v>0.0</v>
      </c>
      <c r="AC69" s="10">
        <v>0</v>
      </c>
      <c r="AD69" s="10">
        <v>0</v>
      </c>
      <c r="AE69" s="10">
        <v>4853326.38</v>
      </c>
      <c r="AF69" s="10" t="s">
        <v>93</v>
      </c>
      <c r="AG69" s="12">
        <v>0.0</v>
      </c>
      <c r="AH69" s="10">
        <v>0.0</v>
      </c>
      <c r="AI69" s="10">
        <v>-69096.45</v>
      </c>
      <c r="AJ69" s="10">
        <v>-67741.62</v>
      </c>
      <c r="AK69" s="10">
        <v>-135483.24</v>
      </c>
      <c r="AL69" s="10">
        <v>-33870.81</v>
      </c>
      <c r="AM69" s="10">
        <v>-33870.81</v>
      </c>
      <c r="AN69" s="10">
        <v>0</v>
      </c>
      <c r="AO69" s="10">
        <v>0</v>
      </c>
      <c r="AP69" s="10">
        <v>0</v>
      </c>
      <c r="AQ69" s="10">
        <v>0</v>
      </c>
      <c r="AR69" s="10">
        <f>SUM(AE69,AH69:AQ69)</f>
        <v>4513263.45</v>
      </c>
      <c r="AS69" s="10">
        <v>36.55</v>
      </c>
      <c r="AT69" s="10">
        <f>SUM(AR69:AS69)</f>
        <v>4513300</v>
      </c>
    </row>
    <row r="70" spans="1:46">
      <c r="A70" s="5">
        <v>63</v>
      </c>
      <c r="B70" s="5">
        <v>2025</v>
      </c>
      <c r="C70" s="5">
        <v>12</v>
      </c>
      <c r="D70" s="5"/>
      <c r="E70" s="5">
        <v>251100072</v>
      </c>
      <c r="F70" s="5" t="s">
        <v>210</v>
      </c>
      <c r="G70" s="5" t="s">
        <v>49</v>
      </c>
      <c r="H70" s="5" t="s">
        <v>62</v>
      </c>
      <c r="I70" s="5" t="s">
        <v>211</v>
      </c>
      <c r="J70" s="7" t="s">
        <v>211</v>
      </c>
      <c r="K70" s="5" t="s">
        <v>71</v>
      </c>
      <c r="L70" s="9" t="s">
        <v>68</v>
      </c>
      <c r="M70" s="9">
        <v>3387081.0</v>
      </c>
      <c r="N70" s="9">
        <v>12.0</v>
      </c>
      <c r="O70" s="9">
        <v>36.0</v>
      </c>
      <c r="P70" s="9">
        <v>0.0</v>
      </c>
      <c r="Q70" s="9">
        <v>0.0</v>
      </c>
      <c r="R70" s="9">
        <v>2032248.6</v>
      </c>
      <c r="S70" s="9">
        <v>1762065.26</v>
      </c>
      <c r="T70" s="9">
        <v>72000</v>
      </c>
      <c r="U70" s="9">
        <v>254031</v>
      </c>
      <c r="V70" s="9">
        <v>120000</v>
      </c>
      <c r="W70" s="9">
        <v>0</v>
      </c>
      <c r="X70" s="9">
        <v>0</v>
      </c>
      <c r="Y70" s="9">
        <v>0</v>
      </c>
      <c r="Z70" s="9">
        <v>69096.45</v>
      </c>
      <c r="AA70" s="9">
        <v>135483.24</v>
      </c>
      <c r="AB70" s="9">
        <v>0.0</v>
      </c>
      <c r="AC70" s="9">
        <v>0</v>
      </c>
      <c r="AD70" s="9">
        <v>0</v>
      </c>
      <c r="AE70" s="9">
        <v>4444924.55</v>
      </c>
      <c r="AF70" s="9" t="s">
        <v>54</v>
      </c>
      <c r="AG70" s="11">
        <v>0.0</v>
      </c>
      <c r="AH70" s="9">
        <v>0.0</v>
      </c>
      <c r="AI70" s="9">
        <v>-69096.45</v>
      </c>
      <c r="AJ70" s="9">
        <v>-67741.62</v>
      </c>
      <c r="AK70" s="9">
        <v>-135483.24</v>
      </c>
      <c r="AL70" s="9">
        <v>-33870.81</v>
      </c>
      <c r="AM70" s="9">
        <v>-33870.81</v>
      </c>
      <c r="AN70" s="9">
        <v>0</v>
      </c>
      <c r="AO70" s="9">
        <v>0</v>
      </c>
      <c r="AP70" s="9">
        <v>0</v>
      </c>
      <c r="AQ70" s="9">
        <v>0</v>
      </c>
      <c r="AR70" s="9">
        <f>SUM(AE70,AH70:AQ70)</f>
        <v>4104861.62</v>
      </c>
      <c r="AS70" s="9">
        <v>38.38</v>
      </c>
      <c r="AT70" s="9">
        <f>SUM(AR70:AS70)</f>
        <v>4104900</v>
      </c>
    </row>
    <row r="71" spans="1:46">
      <c r="A71" s="6">
        <v>64</v>
      </c>
      <c r="B71" s="6">
        <v>2025</v>
      </c>
      <c r="C71" s="6">
        <v>12</v>
      </c>
      <c r="D71" s="6"/>
      <c r="E71" s="6">
        <v>251100053</v>
      </c>
      <c r="F71" s="6" t="s">
        <v>212</v>
      </c>
      <c r="G71" s="6" t="s">
        <v>49</v>
      </c>
      <c r="H71" s="6" t="s">
        <v>50</v>
      </c>
      <c r="I71" s="6" t="s">
        <v>213</v>
      </c>
      <c r="J71" s="8" t="s">
        <v>213</v>
      </c>
      <c r="K71" s="6" t="s">
        <v>58</v>
      </c>
      <c r="L71" s="10" t="s">
        <v>100</v>
      </c>
      <c r="M71" s="10">
        <v>3387081.0</v>
      </c>
      <c r="N71" s="10">
        <v>13.0</v>
      </c>
      <c r="O71" s="10">
        <v>39.0</v>
      </c>
      <c r="P71" s="10">
        <v>0.0</v>
      </c>
      <c r="Q71" s="10">
        <v>0.0</v>
      </c>
      <c r="R71" s="10">
        <v>2201602.65</v>
      </c>
      <c r="S71" s="10">
        <v>1908904.04</v>
      </c>
      <c r="T71" s="10">
        <v>78000</v>
      </c>
      <c r="U71" s="10">
        <v>203225</v>
      </c>
      <c r="V71" s="10">
        <v>130000</v>
      </c>
      <c r="W71" s="10">
        <v>0</v>
      </c>
      <c r="X71" s="10">
        <v>0</v>
      </c>
      <c r="Y71" s="10">
        <v>0</v>
      </c>
      <c r="Z71" s="10">
        <v>69096.45</v>
      </c>
      <c r="AA71" s="10">
        <v>135483.24</v>
      </c>
      <c r="AB71" s="10">
        <v>0.0</v>
      </c>
      <c r="AC71" s="10">
        <v>0</v>
      </c>
      <c r="AD71" s="10">
        <v>0</v>
      </c>
      <c r="AE71" s="10">
        <v>4726311.38</v>
      </c>
      <c r="AF71" s="10" t="s">
        <v>54</v>
      </c>
      <c r="AG71" s="12">
        <v>0.0</v>
      </c>
      <c r="AH71" s="10">
        <v>0.0</v>
      </c>
      <c r="AI71" s="10">
        <v>-69096.45</v>
      </c>
      <c r="AJ71" s="10">
        <v>-67741.62</v>
      </c>
      <c r="AK71" s="10">
        <v>-135483.24</v>
      </c>
      <c r="AL71" s="10">
        <v>-33870.81</v>
      </c>
      <c r="AM71" s="10">
        <v>-33870.81</v>
      </c>
      <c r="AN71" s="10">
        <v>0</v>
      </c>
      <c r="AO71" s="10">
        <v>0</v>
      </c>
      <c r="AP71" s="10">
        <v>0</v>
      </c>
      <c r="AQ71" s="10">
        <v>0</v>
      </c>
      <c r="AR71" s="10">
        <f>SUM(AE71,AH71:AQ71)</f>
        <v>4386248.45</v>
      </c>
      <c r="AS71" s="10">
        <v>-48.45</v>
      </c>
      <c r="AT71" s="10">
        <f>SUM(AR71:AS71)</f>
        <v>4386200</v>
      </c>
    </row>
    <row r="72" spans="1:46">
      <c r="A72" s="5">
        <v>65</v>
      </c>
      <c r="B72" s="5">
        <v>2025</v>
      </c>
      <c r="C72" s="5">
        <v>12</v>
      </c>
      <c r="D72" s="5"/>
      <c r="E72" s="5">
        <v>251200005</v>
      </c>
      <c r="F72" s="5" t="s">
        <v>214</v>
      </c>
      <c r="G72" s="5" t="s">
        <v>49</v>
      </c>
      <c r="H72" s="5" t="s">
        <v>91</v>
      </c>
      <c r="I72" s="5" t="s">
        <v>215</v>
      </c>
      <c r="J72" s="7" t="s">
        <v>215</v>
      </c>
      <c r="K72" s="5" t="s">
        <v>175</v>
      </c>
      <c r="L72" s="9" t="s">
        <v>100</v>
      </c>
      <c r="M72" s="9">
        <v>3387081.0</v>
      </c>
      <c r="N72" s="9">
        <v>3.0</v>
      </c>
      <c r="O72" s="9">
        <v>9.0</v>
      </c>
      <c r="P72" s="9">
        <v>0.0</v>
      </c>
      <c r="Q72" s="9">
        <v>0.0</v>
      </c>
      <c r="R72" s="9">
        <v>508062.15</v>
      </c>
      <c r="S72" s="9">
        <v>440516.31</v>
      </c>
      <c r="T72" s="9">
        <v>18000</v>
      </c>
      <c r="U72" s="9">
        <v>50806</v>
      </c>
      <c r="V72" s="9">
        <v>30000</v>
      </c>
      <c r="W72" s="9">
        <v>0</v>
      </c>
      <c r="X72" s="9">
        <v>0</v>
      </c>
      <c r="Y72" s="9">
        <v>0</v>
      </c>
      <c r="Z72" s="9">
        <v>69096.45</v>
      </c>
      <c r="AA72" s="9">
        <v>135483.24</v>
      </c>
      <c r="AB72" s="9">
        <v>0.0</v>
      </c>
      <c r="AC72" s="9">
        <v>0</v>
      </c>
      <c r="AD72" s="9">
        <v>0</v>
      </c>
      <c r="AE72" s="9">
        <v>1251964.15</v>
      </c>
      <c r="AF72" s="9" t="s">
        <v>93</v>
      </c>
      <c r="AG72" s="11">
        <v>0.0</v>
      </c>
      <c r="AH72" s="9">
        <v>0.0</v>
      </c>
      <c r="AI72" s="9">
        <v>-69096.45</v>
      </c>
      <c r="AJ72" s="9">
        <v>-67741.62</v>
      </c>
      <c r="AK72" s="9">
        <v>-135483.24</v>
      </c>
      <c r="AL72" s="9">
        <v>-33870.81</v>
      </c>
      <c r="AM72" s="9">
        <v>-33870.81</v>
      </c>
      <c r="AN72" s="9">
        <v>0</v>
      </c>
      <c r="AO72" s="9">
        <v>0</v>
      </c>
      <c r="AP72" s="9">
        <v>0</v>
      </c>
      <c r="AQ72" s="9">
        <v>0</v>
      </c>
      <c r="AR72" s="9">
        <f>SUM(AE72,AH72:AQ72)</f>
        <v>911901.22</v>
      </c>
      <c r="AS72" s="9">
        <v>-1.22</v>
      </c>
      <c r="AT72" s="9">
        <f>SUM(AR72:AS72)</f>
        <v>911900</v>
      </c>
    </row>
    <row r="73" spans="1:46">
      <c r="A73" s="6">
        <v>66</v>
      </c>
      <c r="B73" s="6">
        <v>2025</v>
      </c>
      <c r="C73" s="6">
        <v>12</v>
      </c>
      <c r="D73" s="6"/>
      <c r="E73" s="6">
        <v>251100077</v>
      </c>
      <c r="F73" s="6" t="s">
        <v>216</v>
      </c>
      <c r="G73" s="6" t="s">
        <v>49</v>
      </c>
      <c r="H73" s="6" t="s">
        <v>62</v>
      </c>
      <c r="I73" s="6" t="s">
        <v>217</v>
      </c>
      <c r="J73" s="8" t="s">
        <v>217</v>
      </c>
      <c r="K73" s="6" t="s">
        <v>110</v>
      </c>
      <c r="L73" s="10" t="s">
        <v>78</v>
      </c>
      <c r="M73" s="10">
        <v>3387081.0</v>
      </c>
      <c r="N73" s="10">
        <v>10.0</v>
      </c>
      <c r="O73" s="10">
        <v>30.0</v>
      </c>
      <c r="P73" s="10">
        <v>0.0</v>
      </c>
      <c r="Q73" s="10">
        <v>0.0</v>
      </c>
      <c r="R73" s="10">
        <v>1693540.5</v>
      </c>
      <c r="S73" s="10">
        <v>1468387.71</v>
      </c>
      <c r="T73" s="10">
        <v>60000</v>
      </c>
      <c r="U73" s="10">
        <v>254031</v>
      </c>
      <c r="V73" s="10">
        <v>100000</v>
      </c>
      <c r="W73" s="10">
        <v>0</v>
      </c>
      <c r="X73" s="10">
        <v>0</v>
      </c>
      <c r="Y73" s="10">
        <v>0</v>
      </c>
      <c r="Z73" s="10">
        <v>69096.45</v>
      </c>
      <c r="AA73" s="10">
        <v>135483.24</v>
      </c>
      <c r="AB73" s="10">
        <v>0.0</v>
      </c>
      <c r="AC73" s="10">
        <v>0</v>
      </c>
      <c r="AD73" s="10">
        <v>0</v>
      </c>
      <c r="AE73" s="10">
        <v>3780538.9</v>
      </c>
      <c r="AF73" s="10" t="s">
        <v>54</v>
      </c>
      <c r="AG73" s="12">
        <v>0.0</v>
      </c>
      <c r="AH73" s="10">
        <v>0.0</v>
      </c>
      <c r="AI73" s="10">
        <v>-69096.45</v>
      </c>
      <c r="AJ73" s="10">
        <v>-67741.62</v>
      </c>
      <c r="AK73" s="10">
        <v>-135483.24</v>
      </c>
      <c r="AL73" s="10">
        <v>-33870.81</v>
      </c>
      <c r="AM73" s="10">
        <v>-33870.81</v>
      </c>
      <c r="AN73" s="10">
        <v>0</v>
      </c>
      <c r="AO73" s="10">
        <v>0</v>
      </c>
      <c r="AP73" s="10">
        <v>0</v>
      </c>
      <c r="AQ73" s="10">
        <v>0</v>
      </c>
      <c r="AR73" s="10">
        <f>SUM(AE73,AH73:AQ73)</f>
        <v>3440475.97</v>
      </c>
      <c r="AS73" s="10">
        <v>24.03</v>
      </c>
      <c r="AT73" s="10">
        <f>SUM(AR73:AS73)</f>
        <v>3440500</v>
      </c>
    </row>
    <row r="74" spans="1:46">
      <c r="A74" s="5">
        <v>67</v>
      </c>
      <c r="B74" s="5">
        <v>2025</v>
      </c>
      <c r="C74" s="5">
        <v>12</v>
      </c>
      <c r="D74" s="5"/>
      <c r="E74" s="5">
        <v>251100019</v>
      </c>
      <c r="F74" s="5" t="s">
        <v>218</v>
      </c>
      <c r="G74" s="5" t="s">
        <v>49</v>
      </c>
      <c r="H74" s="5" t="s">
        <v>91</v>
      </c>
      <c r="I74" s="5" t="s">
        <v>219</v>
      </c>
      <c r="J74" s="7" t="s">
        <v>219</v>
      </c>
      <c r="K74" s="5" t="s">
        <v>180</v>
      </c>
      <c r="L74" s="9" t="s">
        <v>167</v>
      </c>
      <c r="M74" s="9">
        <v>3387081.0</v>
      </c>
      <c r="N74" s="9">
        <v>16.0</v>
      </c>
      <c r="O74" s="9">
        <v>48.0</v>
      </c>
      <c r="P74" s="9">
        <v>0.0</v>
      </c>
      <c r="Q74" s="9">
        <v>0.0</v>
      </c>
      <c r="R74" s="9">
        <v>2709664.8</v>
      </c>
      <c r="S74" s="9">
        <v>2349420.35</v>
      </c>
      <c r="T74" s="9">
        <v>96000</v>
      </c>
      <c r="U74" s="9">
        <v>0</v>
      </c>
      <c r="V74" s="9">
        <v>160000</v>
      </c>
      <c r="W74" s="9">
        <v>0</v>
      </c>
      <c r="X74" s="9">
        <v>0</v>
      </c>
      <c r="Y74" s="9">
        <v>0</v>
      </c>
      <c r="Z74" s="9">
        <v>69096.45</v>
      </c>
      <c r="AA74" s="9">
        <v>135483.24</v>
      </c>
      <c r="AB74" s="9">
        <v>0.0</v>
      </c>
      <c r="AC74" s="9">
        <v>0</v>
      </c>
      <c r="AD74" s="9">
        <v>0</v>
      </c>
      <c r="AE74" s="9">
        <v>5519664.84</v>
      </c>
      <c r="AF74" s="9" t="s">
        <v>93</v>
      </c>
      <c r="AG74" s="11">
        <v>0.0</v>
      </c>
      <c r="AH74" s="9">
        <v>0.0</v>
      </c>
      <c r="AI74" s="9">
        <v>-69096.45</v>
      </c>
      <c r="AJ74" s="9">
        <v>-67741.62</v>
      </c>
      <c r="AK74" s="9">
        <v>-135483.24</v>
      </c>
      <c r="AL74" s="9">
        <v>-33870.81</v>
      </c>
      <c r="AM74" s="9">
        <v>-33870.81</v>
      </c>
      <c r="AN74" s="9">
        <v>0</v>
      </c>
      <c r="AO74" s="9">
        <v>0</v>
      </c>
      <c r="AP74" s="9">
        <v>0</v>
      </c>
      <c r="AQ74" s="9">
        <v>0</v>
      </c>
      <c r="AR74" s="9">
        <f>SUM(AE74,AH74:AQ74)</f>
        <v>5179601.91</v>
      </c>
      <c r="AS74" s="9">
        <v>-1.91</v>
      </c>
      <c r="AT74" s="9">
        <f>SUM(AR74:AS74)</f>
        <v>5179600</v>
      </c>
    </row>
    <row r="75" spans="1:46">
      <c r="A75" s="6">
        <v>68</v>
      </c>
      <c r="B75" s="6">
        <v>2025</v>
      </c>
      <c r="C75" s="6">
        <v>12</v>
      </c>
      <c r="D75" s="6"/>
      <c r="E75" s="6">
        <v>251100081</v>
      </c>
      <c r="F75" s="6" t="s">
        <v>220</v>
      </c>
      <c r="G75" s="6" t="s">
        <v>49</v>
      </c>
      <c r="H75" s="6" t="s">
        <v>91</v>
      </c>
      <c r="I75" s="6" t="s">
        <v>221</v>
      </c>
      <c r="J75" s="8" t="s">
        <v>221</v>
      </c>
      <c r="K75" s="6" t="s">
        <v>222</v>
      </c>
      <c r="L75" s="10" t="s">
        <v>126</v>
      </c>
      <c r="M75" s="10">
        <v>3387081.0</v>
      </c>
      <c r="N75" s="10">
        <v>26.0</v>
      </c>
      <c r="O75" s="10">
        <v>78.0</v>
      </c>
      <c r="P75" s="10">
        <v>0.0</v>
      </c>
      <c r="Q75" s="10">
        <v>0.0</v>
      </c>
      <c r="R75" s="10">
        <v>4403205.3</v>
      </c>
      <c r="S75" s="10">
        <v>3817808.06</v>
      </c>
      <c r="T75" s="10">
        <v>156000</v>
      </c>
      <c r="U75" s="10">
        <v>0</v>
      </c>
      <c r="V75" s="10">
        <v>260000</v>
      </c>
      <c r="W75" s="10">
        <v>0</v>
      </c>
      <c r="X75" s="10">
        <v>0</v>
      </c>
      <c r="Y75" s="10">
        <v>0</v>
      </c>
      <c r="Z75" s="10">
        <v>69096.45</v>
      </c>
      <c r="AA75" s="10">
        <v>135483.24</v>
      </c>
      <c r="AB75" s="10">
        <v>0.0</v>
      </c>
      <c r="AC75" s="10">
        <v>0</v>
      </c>
      <c r="AD75" s="10">
        <v>0</v>
      </c>
      <c r="AE75" s="10">
        <v>8841593.05</v>
      </c>
      <c r="AF75" s="10" t="s">
        <v>93</v>
      </c>
      <c r="AG75" s="12">
        <v>0.01</v>
      </c>
      <c r="AH75" s="10">
        <v>-88415.0</v>
      </c>
      <c r="AI75" s="10">
        <v>-69096.45</v>
      </c>
      <c r="AJ75" s="10">
        <v>-67741.62</v>
      </c>
      <c r="AK75" s="10">
        <v>-135483.24</v>
      </c>
      <c r="AL75" s="10">
        <v>-33870.81</v>
      </c>
      <c r="AM75" s="10">
        <v>-33870.81</v>
      </c>
      <c r="AN75" s="10">
        <v>0</v>
      </c>
      <c r="AO75" s="10">
        <v>0</v>
      </c>
      <c r="AP75" s="10">
        <v>0</v>
      </c>
      <c r="AQ75" s="10">
        <v>0</v>
      </c>
      <c r="AR75" s="10">
        <f>SUM(AE75,AH75:AQ75)</f>
        <v>8413115.12</v>
      </c>
      <c r="AS75" s="10">
        <v>-15.12</v>
      </c>
      <c r="AT75" s="10">
        <f>SUM(AR75:AS75)</f>
        <v>8413100</v>
      </c>
    </row>
    <row r="76" spans="1:46">
      <c r="A76" s="5">
        <v>69</v>
      </c>
      <c r="B76" s="5">
        <v>2025</v>
      </c>
      <c r="C76" s="5">
        <v>12</v>
      </c>
      <c r="D76" s="5"/>
      <c r="E76" s="5">
        <v>251100051</v>
      </c>
      <c r="F76" s="5" t="s">
        <v>223</v>
      </c>
      <c r="G76" s="5" t="s">
        <v>49</v>
      </c>
      <c r="H76" s="5" t="s">
        <v>56</v>
      </c>
      <c r="I76" s="5" t="s">
        <v>224</v>
      </c>
      <c r="J76" s="7" t="s">
        <v>224</v>
      </c>
      <c r="K76" s="5" t="s">
        <v>58</v>
      </c>
      <c r="L76" s="9" t="s">
        <v>126</v>
      </c>
      <c r="M76" s="9">
        <v>3387081.0</v>
      </c>
      <c r="N76" s="9">
        <v>15.0</v>
      </c>
      <c r="O76" s="9">
        <v>45.0</v>
      </c>
      <c r="P76" s="9">
        <v>0.0</v>
      </c>
      <c r="Q76" s="9">
        <v>0.0</v>
      </c>
      <c r="R76" s="9">
        <v>2540310.75</v>
      </c>
      <c r="S76" s="9">
        <v>2202581.58</v>
      </c>
      <c r="T76" s="9">
        <v>90000</v>
      </c>
      <c r="U76" s="9">
        <v>0</v>
      </c>
      <c r="V76" s="9">
        <v>150000</v>
      </c>
      <c r="W76" s="9">
        <v>0</v>
      </c>
      <c r="X76" s="9">
        <v>0</v>
      </c>
      <c r="Y76" s="9">
        <v>0</v>
      </c>
      <c r="Z76" s="9">
        <v>69096.45</v>
      </c>
      <c r="AA76" s="9">
        <v>135483.24</v>
      </c>
      <c r="AB76" s="9">
        <v>0.0</v>
      </c>
      <c r="AC76" s="9">
        <v>0</v>
      </c>
      <c r="AD76" s="9">
        <v>0</v>
      </c>
      <c r="AE76" s="9">
        <v>5187472.02</v>
      </c>
      <c r="AF76" s="9" t="s">
        <v>60</v>
      </c>
      <c r="AG76" s="11">
        <v>0.0</v>
      </c>
      <c r="AH76" s="9">
        <v>0.0</v>
      </c>
      <c r="AI76" s="9">
        <v>-69096.45</v>
      </c>
      <c r="AJ76" s="9">
        <v>-67741.62</v>
      </c>
      <c r="AK76" s="9">
        <v>-135483.24</v>
      </c>
      <c r="AL76" s="9">
        <v>-33870.81</v>
      </c>
      <c r="AM76" s="9">
        <v>-33870.81</v>
      </c>
      <c r="AN76" s="9">
        <v>0</v>
      </c>
      <c r="AO76" s="9">
        <v>0</v>
      </c>
      <c r="AP76" s="9">
        <v>0</v>
      </c>
      <c r="AQ76" s="9">
        <v>0</v>
      </c>
      <c r="AR76" s="9">
        <f>SUM(AE76,AH76:AQ76)</f>
        <v>4847409.09</v>
      </c>
      <c r="AS76" s="9">
        <v>-9.09</v>
      </c>
      <c r="AT76" s="9">
        <f>SUM(AR76:AS76)</f>
        <v>4847400</v>
      </c>
    </row>
    <row r="77" spans="1:46">
      <c r="A77" s="6">
        <v>70</v>
      </c>
      <c r="B77" s="6">
        <v>2025</v>
      </c>
      <c r="C77" s="6">
        <v>12</v>
      </c>
      <c r="D77" s="6"/>
      <c r="E77" s="6">
        <v>251100058</v>
      </c>
      <c r="F77" s="6" t="s">
        <v>225</v>
      </c>
      <c r="G77" s="6" t="s">
        <v>49</v>
      </c>
      <c r="H77" s="6" t="s">
        <v>50</v>
      </c>
      <c r="I77" s="6" t="s">
        <v>226</v>
      </c>
      <c r="J77" s="8" t="s">
        <v>226</v>
      </c>
      <c r="K77" s="6" t="s">
        <v>67</v>
      </c>
      <c r="L77" s="10" t="s">
        <v>68</v>
      </c>
      <c r="M77" s="10">
        <v>3387081.0</v>
      </c>
      <c r="N77" s="10">
        <v>7.0</v>
      </c>
      <c r="O77" s="10">
        <v>21.0</v>
      </c>
      <c r="P77" s="10">
        <v>0.0</v>
      </c>
      <c r="Q77" s="10">
        <v>0.0</v>
      </c>
      <c r="R77" s="10">
        <v>1185478.35</v>
      </c>
      <c r="S77" s="10">
        <v>1027871.4</v>
      </c>
      <c r="T77" s="10">
        <v>42000</v>
      </c>
      <c r="U77" s="10">
        <v>0</v>
      </c>
      <c r="V77" s="10">
        <v>70000</v>
      </c>
      <c r="W77" s="10">
        <v>0</v>
      </c>
      <c r="X77" s="10">
        <v>0</v>
      </c>
      <c r="Y77" s="10">
        <v>0</v>
      </c>
      <c r="Z77" s="10">
        <v>69096.45</v>
      </c>
      <c r="AA77" s="10">
        <v>135483.24</v>
      </c>
      <c r="AB77" s="10">
        <v>0.0</v>
      </c>
      <c r="AC77" s="10">
        <v>0</v>
      </c>
      <c r="AD77" s="10">
        <v>0</v>
      </c>
      <c r="AE77" s="10">
        <v>2529929.44</v>
      </c>
      <c r="AF77" s="10" t="s">
        <v>54</v>
      </c>
      <c r="AG77" s="12">
        <v>0.0</v>
      </c>
      <c r="AH77" s="10">
        <v>0.0</v>
      </c>
      <c r="AI77" s="10">
        <v>-69096.45</v>
      </c>
      <c r="AJ77" s="10">
        <v>-67741.62</v>
      </c>
      <c r="AK77" s="10">
        <v>-135483.24</v>
      </c>
      <c r="AL77" s="10">
        <v>-33870.81</v>
      </c>
      <c r="AM77" s="10">
        <v>-33870.81</v>
      </c>
      <c r="AN77" s="10">
        <v>0</v>
      </c>
      <c r="AO77" s="10">
        <v>0</v>
      </c>
      <c r="AP77" s="10">
        <v>0</v>
      </c>
      <c r="AQ77" s="10">
        <v>0</v>
      </c>
      <c r="AR77" s="10">
        <f>SUM(AE77,AH77:AQ77)</f>
        <v>2189866.51</v>
      </c>
      <c r="AS77" s="10">
        <v>33.49</v>
      </c>
      <c r="AT77" s="10">
        <f>SUM(AR77:AS77)</f>
        <v>2189900</v>
      </c>
    </row>
    <row r="78" spans="1:46">
      <c r="A78" s="5">
        <v>71</v>
      </c>
      <c r="B78" s="5">
        <v>2025</v>
      </c>
      <c r="C78" s="5">
        <v>12</v>
      </c>
      <c r="D78" s="5"/>
      <c r="E78" s="5">
        <v>251200007</v>
      </c>
      <c r="F78" s="5" t="s">
        <v>227</v>
      </c>
      <c r="G78" s="5" t="s">
        <v>49</v>
      </c>
      <c r="H78" s="5" t="s">
        <v>62</v>
      </c>
      <c r="I78" s="5" t="s">
        <v>228</v>
      </c>
      <c r="J78" s="7" t="s">
        <v>228</v>
      </c>
      <c r="K78" s="5" t="s">
        <v>229</v>
      </c>
      <c r="L78" s="9" t="s">
        <v>78</v>
      </c>
      <c r="M78" s="9">
        <v>3387081.0</v>
      </c>
      <c r="N78" s="9">
        <v>6.0</v>
      </c>
      <c r="O78" s="9">
        <v>18.0</v>
      </c>
      <c r="P78" s="9">
        <v>0.0</v>
      </c>
      <c r="Q78" s="9">
        <v>0.0</v>
      </c>
      <c r="R78" s="9">
        <v>1016124.3</v>
      </c>
      <c r="S78" s="9">
        <v>881032.63</v>
      </c>
      <c r="T78" s="9">
        <v>36000</v>
      </c>
      <c r="U78" s="9">
        <v>0</v>
      </c>
      <c r="V78" s="9">
        <v>60000</v>
      </c>
      <c r="W78" s="9">
        <v>0</v>
      </c>
      <c r="X78" s="9">
        <v>0</v>
      </c>
      <c r="Y78" s="9">
        <v>0</v>
      </c>
      <c r="Z78" s="9">
        <v>69096.45</v>
      </c>
      <c r="AA78" s="9">
        <v>135483.24</v>
      </c>
      <c r="AB78" s="9">
        <v>0.0</v>
      </c>
      <c r="AC78" s="9">
        <v>0</v>
      </c>
      <c r="AD78" s="9">
        <v>0</v>
      </c>
      <c r="AE78" s="9">
        <v>2197736.62</v>
      </c>
      <c r="AF78" s="9" t="s">
        <v>54</v>
      </c>
      <c r="AG78" s="11">
        <v>0.0</v>
      </c>
      <c r="AH78" s="9">
        <v>0.0</v>
      </c>
      <c r="AI78" s="9">
        <v>-69096.45</v>
      </c>
      <c r="AJ78" s="9">
        <v>-67741.62</v>
      </c>
      <c r="AK78" s="9">
        <v>-135483.24</v>
      </c>
      <c r="AL78" s="9">
        <v>-33870.81</v>
      </c>
      <c r="AM78" s="9">
        <v>-33870.81</v>
      </c>
      <c r="AN78" s="9">
        <v>0</v>
      </c>
      <c r="AO78" s="9">
        <v>0</v>
      </c>
      <c r="AP78" s="9">
        <v>0</v>
      </c>
      <c r="AQ78" s="9">
        <v>0</v>
      </c>
      <c r="AR78" s="9">
        <f>SUM(AE78,AH78:AQ78)</f>
        <v>1857673.69</v>
      </c>
      <c r="AS78" s="9">
        <v>26.31</v>
      </c>
      <c r="AT78" s="9">
        <f>SUM(AR78:AS78)</f>
        <v>1857700</v>
      </c>
    </row>
    <row r="79" spans="1:46">
      <c r="A79" s="6">
        <v>72</v>
      </c>
      <c r="B79" s="6">
        <v>2025</v>
      </c>
      <c r="C79" s="6">
        <v>12</v>
      </c>
      <c r="D79" s="6"/>
      <c r="E79" s="6">
        <v>251100063</v>
      </c>
      <c r="F79" s="6" t="s">
        <v>230</v>
      </c>
      <c r="G79" s="6" t="s">
        <v>49</v>
      </c>
      <c r="H79" s="6" t="s">
        <v>62</v>
      </c>
      <c r="I79" s="6" t="s">
        <v>231</v>
      </c>
      <c r="J79" s="8" t="s">
        <v>231</v>
      </c>
      <c r="K79" s="6" t="s">
        <v>67</v>
      </c>
      <c r="L79" s="10" t="s">
        <v>68</v>
      </c>
      <c r="M79" s="10">
        <v>3387081.0</v>
      </c>
      <c r="N79" s="10">
        <v>19.0</v>
      </c>
      <c r="O79" s="10">
        <v>57.0</v>
      </c>
      <c r="P79" s="10">
        <v>0.0</v>
      </c>
      <c r="Q79" s="10">
        <v>0.0</v>
      </c>
      <c r="R79" s="10">
        <v>3217726.95</v>
      </c>
      <c r="S79" s="10">
        <v>2789936.66</v>
      </c>
      <c r="T79" s="10">
        <v>114000</v>
      </c>
      <c r="U79" s="10">
        <v>0</v>
      </c>
      <c r="V79" s="10">
        <v>190000</v>
      </c>
      <c r="W79" s="10">
        <v>0</v>
      </c>
      <c r="X79" s="10">
        <v>0</v>
      </c>
      <c r="Y79" s="10">
        <v>0</v>
      </c>
      <c r="Z79" s="10">
        <v>69096.45</v>
      </c>
      <c r="AA79" s="10">
        <v>135483.24</v>
      </c>
      <c r="AB79" s="10">
        <v>0.0</v>
      </c>
      <c r="AC79" s="10">
        <v>0</v>
      </c>
      <c r="AD79" s="10">
        <v>0</v>
      </c>
      <c r="AE79" s="10">
        <v>6516243.3</v>
      </c>
      <c r="AF79" s="10" t="s">
        <v>54</v>
      </c>
      <c r="AG79" s="12">
        <v>0.01</v>
      </c>
      <c r="AH79" s="10">
        <v>-65162.0</v>
      </c>
      <c r="AI79" s="10">
        <v>-69096.45</v>
      </c>
      <c r="AJ79" s="10">
        <v>-67741.62</v>
      </c>
      <c r="AK79" s="10">
        <v>-135483.24</v>
      </c>
      <c r="AL79" s="10">
        <v>-33870.81</v>
      </c>
      <c r="AM79" s="10">
        <v>-33870.81</v>
      </c>
      <c r="AN79" s="10">
        <v>0</v>
      </c>
      <c r="AO79" s="10">
        <v>0</v>
      </c>
      <c r="AP79" s="10">
        <v>0</v>
      </c>
      <c r="AQ79" s="10">
        <v>0</v>
      </c>
      <c r="AR79" s="10">
        <f>SUM(AE79,AH79:AQ79)</f>
        <v>6111018.37</v>
      </c>
      <c r="AS79" s="10">
        <v>-18.37</v>
      </c>
      <c r="AT79" s="10">
        <f>SUM(AR79:AS79)</f>
        <v>6111000</v>
      </c>
    </row>
    <row r="80" spans="1:46">
      <c r="A80" s="5">
        <v>73</v>
      </c>
      <c r="B80" s="5">
        <v>2025</v>
      </c>
      <c r="C80" s="5">
        <v>12</v>
      </c>
      <c r="D80" s="5"/>
      <c r="E80" s="5">
        <v>251100021</v>
      </c>
      <c r="F80" s="5" t="s">
        <v>232</v>
      </c>
      <c r="G80" s="5" t="s">
        <v>49</v>
      </c>
      <c r="H80" s="5" t="s">
        <v>91</v>
      </c>
      <c r="I80" s="5" t="s">
        <v>233</v>
      </c>
      <c r="J80" s="7" t="s">
        <v>233</v>
      </c>
      <c r="K80" s="5" t="s">
        <v>180</v>
      </c>
      <c r="L80" s="9" t="s">
        <v>138</v>
      </c>
      <c r="M80" s="9">
        <v>3387081.0</v>
      </c>
      <c r="N80" s="9">
        <v>16.0</v>
      </c>
      <c r="O80" s="9">
        <v>48.0</v>
      </c>
      <c r="P80" s="9">
        <v>0.0</v>
      </c>
      <c r="Q80" s="9">
        <v>0.0</v>
      </c>
      <c r="R80" s="9">
        <v>2709664.8</v>
      </c>
      <c r="S80" s="9">
        <v>2349420.35</v>
      </c>
      <c r="T80" s="9">
        <v>96000</v>
      </c>
      <c r="U80" s="9">
        <v>0</v>
      </c>
      <c r="V80" s="9">
        <v>160000</v>
      </c>
      <c r="W80" s="9">
        <v>0</v>
      </c>
      <c r="X80" s="9">
        <v>0</v>
      </c>
      <c r="Y80" s="9">
        <v>0</v>
      </c>
      <c r="Z80" s="9">
        <v>69096.45</v>
      </c>
      <c r="AA80" s="9">
        <v>135483.24</v>
      </c>
      <c r="AB80" s="9">
        <v>0.0</v>
      </c>
      <c r="AC80" s="9">
        <v>0</v>
      </c>
      <c r="AD80" s="9">
        <v>0</v>
      </c>
      <c r="AE80" s="9">
        <v>5519664.84</v>
      </c>
      <c r="AF80" s="9" t="s">
        <v>93</v>
      </c>
      <c r="AG80" s="11">
        <v>0.0</v>
      </c>
      <c r="AH80" s="9">
        <v>0.0</v>
      </c>
      <c r="AI80" s="9">
        <v>-69096.45</v>
      </c>
      <c r="AJ80" s="9">
        <v>-67741.62</v>
      </c>
      <c r="AK80" s="9">
        <v>-135483.24</v>
      </c>
      <c r="AL80" s="9">
        <v>-33870.81</v>
      </c>
      <c r="AM80" s="9">
        <v>-33870.81</v>
      </c>
      <c r="AN80" s="9">
        <v>0</v>
      </c>
      <c r="AO80" s="9">
        <v>0</v>
      </c>
      <c r="AP80" s="9">
        <v>0</v>
      </c>
      <c r="AQ80" s="9">
        <v>0</v>
      </c>
      <c r="AR80" s="9">
        <f>SUM(AE80,AH80:AQ80)</f>
        <v>5179601.91</v>
      </c>
      <c r="AS80" s="9">
        <v>-1.91</v>
      </c>
      <c r="AT80" s="9">
        <f>SUM(AR80:AS80)</f>
        <v>5179600</v>
      </c>
    </row>
    <row r="81" spans="1:46">
      <c r="A81" s="6">
        <v>74</v>
      </c>
      <c r="B81" s="6">
        <v>2025</v>
      </c>
      <c r="C81" s="6">
        <v>12</v>
      </c>
      <c r="D81" s="6"/>
      <c r="E81" s="6">
        <v>251100065</v>
      </c>
      <c r="F81" s="6" t="s">
        <v>234</v>
      </c>
      <c r="G81" s="6" t="s">
        <v>49</v>
      </c>
      <c r="H81" s="6" t="s">
        <v>50</v>
      </c>
      <c r="I81" s="6" t="s">
        <v>235</v>
      </c>
      <c r="J81" s="8" t="s">
        <v>235</v>
      </c>
      <c r="K81" s="6" t="s">
        <v>67</v>
      </c>
      <c r="L81" s="10" t="s">
        <v>68</v>
      </c>
      <c r="M81" s="10">
        <v>3387081.0</v>
      </c>
      <c r="N81" s="10">
        <v>11.0</v>
      </c>
      <c r="O81" s="10">
        <v>33.0</v>
      </c>
      <c r="P81" s="10">
        <v>0.0</v>
      </c>
      <c r="Q81" s="10">
        <v>0.0</v>
      </c>
      <c r="R81" s="10">
        <v>1862894.55</v>
      </c>
      <c r="S81" s="10">
        <v>1615226.49</v>
      </c>
      <c r="T81" s="10">
        <v>66000</v>
      </c>
      <c r="U81" s="10">
        <v>228628</v>
      </c>
      <c r="V81" s="10">
        <v>110000</v>
      </c>
      <c r="W81" s="10">
        <v>0</v>
      </c>
      <c r="X81" s="10">
        <v>0</v>
      </c>
      <c r="Y81" s="10">
        <v>0</v>
      </c>
      <c r="Z81" s="10">
        <v>69096.45</v>
      </c>
      <c r="AA81" s="10">
        <v>135483.24</v>
      </c>
      <c r="AB81" s="10">
        <v>0.0</v>
      </c>
      <c r="AC81" s="10">
        <v>0</v>
      </c>
      <c r="AD81" s="10">
        <v>0</v>
      </c>
      <c r="AE81" s="10">
        <v>4087328.73</v>
      </c>
      <c r="AF81" s="10" t="s">
        <v>54</v>
      </c>
      <c r="AG81" s="12">
        <v>0.0</v>
      </c>
      <c r="AH81" s="10">
        <v>0.0</v>
      </c>
      <c r="AI81" s="10">
        <v>-69096.45</v>
      </c>
      <c r="AJ81" s="10">
        <v>-67741.62</v>
      </c>
      <c r="AK81" s="10">
        <v>-135483.24</v>
      </c>
      <c r="AL81" s="10">
        <v>-33870.81</v>
      </c>
      <c r="AM81" s="10">
        <v>-33870.81</v>
      </c>
      <c r="AN81" s="10">
        <v>0</v>
      </c>
      <c r="AO81" s="10">
        <v>0</v>
      </c>
      <c r="AP81" s="10">
        <v>0</v>
      </c>
      <c r="AQ81" s="10">
        <v>0</v>
      </c>
      <c r="AR81" s="10">
        <f>SUM(AE81,AH81:AQ81)</f>
        <v>3747265.8</v>
      </c>
      <c r="AS81" s="10">
        <v>34.2</v>
      </c>
      <c r="AT81" s="10">
        <f>SUM(AR81:AS81)</f>
        <v>3747300</v>
      </c>
    </row>
    <row r="82" spans="1:46">
      <c r="A82" s="5">
        <v>75</v>
      </c>
      <c r="B82" s="5">
        <v>2025</v>
      </c>
      <c r="C82" s="5">
        <v>12</v>
      </c>
      <c r="D82" s="5"/>
      <c r="E82" s="5">
        <v>251100083</v>
      </c>
      <c r="F82" s="5" t="s">
        <v>236</v>
      </c>
      <c r="G82" s="5" t="s">
        <v>49</v>
      </c>
      <c r="H82" s="5" t="s">
        <v>91</v>
      </c>
      <c r="I82" s="5" t="s">
        <v>237</v>
      </c>
      <c r="J82" s="7" t="s">
        <v>237</v>
      </c>
      <c r="K82" s="5" t="s">
        <v>125</v>
      </c>
      <c r="L82" s="9" t="s">
        <v>126</v>
      </c>
      <c r="M82" s="9">
        <v>3387081.0</v>
      </c>
      <c r="N82" s="9">
        <v>19.0</v>
      </c>
      <c r="O82" s="9">
        <v>57.0</v>
      </c>
      <c r="P82" s="9">
        <v>0.0</v>
      </c>
      <c r="Q82" s="9">
        <v>0.0</v>
      </c>
      <c r="R82" s="9">
        <v>3217726.95</v>
      </c>
      <c r="S82" s="9">
        <v>2789936.66</v>
      </c>
      <c r="T82" s="9">
        <v>114000</v>
      </c>
      <c r="U82" s="9">
        <v>228628</v>
      </c>
      <c r="V82" s="9">
        <v>190000</v>
      </c>
      <c r="W82" s="9">
        <v>0</v>
      </c>
      <c r="X82" s="9">
        <v>0</v>
      </c>
      <c r="Y82" s="9">
        <v>0</v>
      </c>
      <c r="Z82" s="9">
        <v>69096.45</v>
      </c>
      <c r="AA82" s="9">
        <v>135483.24</v>
      </c>
      <c r="AB82" s="9">
        <v>0.0</v>
      </c>
      <c r="AC82" s="9">
        <v>0</v>
      </c>
      <c r="AD82" s="9">
        <v>0</v>
      </c>
      <c r="AE82" s="9">
        <v>6744871.3</v>
      </c>
      <c r="AF82" s="9" t="s">
        <v>93</v>
      </c>
      <c r="AG82" s="11">
        <v>0.0025</v>
      </c>
      <c r="AH82" s="9">
        <v>-16862.0</v>
      </c>
      <c r="AI82" s="9">
        <v>-69096.45</v>
      </c>
      <c r="AJ82" s="9">
        <v>-67741.62</v>
      </c>
      <c r="AK82" s="9">
        <v>-135483.24</v>
      </c>
      <c r="AL82" s="9">
        <v>-33870.81</v>
      </c>
      <c r="AM82" s="9">
        <v>-33870.81</v>
      </c>
      <c r="AN82" s="9">
        <v>0</v>
      </c>
      <c r="AO82" s="9">
        <v>0</v>
      </c>
      <c r="AP82" s="9">
        <v>0</v>
      </c>
      <c r="AQ82" s="9">
        <v>0</v>
      </c>
      <c r="AR82" s="9">
        <f>SUM(AE82,AH82:AQ82)</f>
        <v>6387946.37</v>
      </c>
      <c r="AS82" s="9">
        <v>-46.37</v>
      </c>
      <c r="AT82" s="9">
        <f>SUM(AR82:AS82)</f>
        <v>6387900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K6:K7"/>
    <mergeCell ref="L6:L7"/>
    <mergeCell ref="M6:M7"/>
    <mergeCell ref="N6:N7"/>
    <mergeCell ref="O6:O7"/>
    <mergeCell ref="P6:P7"/>
    <mergeCell ref="Q6:Q7"/>
    <mergeCell ref="R6:V6"/>
    <mergeCell ref="W6:Y6"/>
    <mergeCell ref="Z6:Z7"/>
    <mergeCell ref="AA6:AA7"/>
    <mergeCell ref="AB6:AB7"/>
    <mergeCell ref="AC6:AC7"/>
    <mergeCell ref="AD6:AD7"/>
    <mergeCell ref="AE6:AE7"/>
    <mergeCell ref="AF6:AF7"/>
    <mergeCell ref="AG6:AG7"/>
    <mergeCell ref="AH6:AH7"/>
    <mergeCell ref="AI6:AI7"/>
    <mergeCell ref="AJ6:AJ7"/>
    <mergeCell ref="AK6:AK7"/>
    <mergeCell ref="AL6:AL7"/>
    <mergeCell ref="AM6:AM7"/>
    <mergeCell ref="AN6:AN7"/>
    <mergeCell ref="AO6:AO7"/>
    <mergeCell ref="AP6:AP7"/>
    <mergeCell ref="AQ6:AQ7"/>
    <mergeCell ref="AR6:AR7"/>
    <mergeCell ref="AS6:AS7"/>
    <mergeCell ref="AT6:AT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Excel 20-12-2025 08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Maurice - Web - Android</dc:creator>
  <cp:lastModifiedBy>Maurice - Web - Android</cp:lastModifiedBy>
  <dcterms:created xsi:type="dcterms:W3CDTF">2025-12-20T08:44:03+07:00</dcterms:created>
  <dcterms:modified xsi:type="dcterms:W3CDTF">2025-12-20T08:44:03+07:00</dcterms:modified>
  <dc:title>Office 2007 XLSX Test Document</dc:title>
  <dc:description>Test document for Office 2007 XLSX, generated using PHP classes.</dc:description>
  <dc:subject>Office 2007 XLSX Test Document</dc:subject>
  <cp:keywords>office 2007 openxml php</cp:keywords>
  <cp:category>Test result file</cp:category>
</cp:coreProperties>
</file>