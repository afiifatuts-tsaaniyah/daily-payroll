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<sst xmlns="http://schemas.openxmlformats.org/spreadsheetml/2006/main" uniqueCount="148">
  <si>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 xml:space="preserve">SUMMARY INVOICE PT SANGATI SOERYA SEJAHTERA - PT </t>
  </si>
  <si>
    <t>PERIOD : 12-2025</t>
  </si>
  <si>
    <t xml:space="preserve">DATE        : </t>
  </si>
  <si>
    <t xml:space="preserve">INVOICE NO  : </t>
  </si>
  <si>
    <t xml:space="preserve">CONTRACT NO : </t>
  </si>
  <si>
    <t>NO</t>
  </si>
  <si>
    <t>NAME</t>
  </si>
  <si>
    <t>ID BADGE</t>
  </si>
  <si>
    <t>POSITION</t>
  </si>
  <si>
    <t>UMK</t>
  </si>
  <si>
    <t>TOTAL HARI KERJA</t>
  </si>
  <si>
    <t>TOTAL HARI KERJA MALAM</t>
  </si>
  <si>
    <t>SALARY THIS MONTH</t>
  </si>
  <si>
    <t>OVERTIME</t>
  </si>
  <si>
    <t>TUNJANGAN KEHADIRAN</t>
  </si>
  <si>
    <t>TUNJANGAN TRANSPORTASI</t>
  </si>
  <si>
    <t>TUNJANGAN SHIFT MALAM</t>
  </si>
  <si>
    <t>ALLOWANCE 4</t>
  </si>
  <si>
    <t>THR</t>
  </si>
  <si>
    <t>ABSENSI</t>
  </si>
  <si>
    <t>BPJS KESEHATAN</t>
  </si>
  <si>
    <t>BPJS KETENAGAKERJAAN</t>
  </si>
  <si>
    <t>BPJS PENSIUN</t>
  </si>
  <si>
    <t>GROSS SALARY</t>
  </si>
  <si>
    <t>CONTRACTOR FEE</t>
  </si>
  <si>
    <t>PKWT KOMPENSASI</t>
  </si>
  <si>
    <t>MCU</t>
  </si>
  <si>
    <t>APD</t>
  </si>
  <si>
    <t>TOTAL KOMPENSASI, MCU, APD</t>
  </si>
  <si>
    <t>HANDLING FEE</t>
  </si>
  <si>
    <t>TOTAL INVOICE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</si>
  <si>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</si>
  <si>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</si>
  <si>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</si>
  <si>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</si>
  <si>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</si>
  <si>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</si>
  <si>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</si>
  <si>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</si>
  <si>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</si>
  <si>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</si>
  <si>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</si>
  <si>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</si>
  <si>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</si>
  <si>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</si>
  <si>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</si>
  <si>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</si>
  <si>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</si>
  <si>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</si>
  <si>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</si>
  <si>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</si>
  <si>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</si>
  <si>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</si>
  <si>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</si>
  <si>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</si>
  <si>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</si>
  <si>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</si>
  <si>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Agus Ahir Hasibuan</t>
  </si>
  <si>
    <t>Drilling Crew 733</t>
  </si>
  <si>
    <t>Ahmad Fauzi Hasibuan</t>
  </si>
  <si>
    <t>Drilling Crew 703</t>
  </si>
  <si>
    <t>Ahmad Juandi Nasution</t>
  </si>
  <si>
    <t>Ali Agusran Harahap</t>
  </si>
  <si>
    <t>Drilling Crew 741</t>
  </si>
  <si>
    <t>Ali Usron Siregar</t>
  </si>
  <si>
    <t>Drilling Crew 714</t>
  </si>
  <si>
    <t>Ali Wardana</t>
  </si>
  <si>
    <t>Alihot</t>
  </si>
  <si>
    <t>Amin Siregar</t>
  </si>
  <si>
    <t>Amir Husin</t>
  </si>
  <si>
    <t>Drilling Crew 704</t>
  </si>
  <si>
    <t>Ammar Ansori Panjaitan</t>
  </si>
  <si>
    <t>Assistant Mechanic</t>
  </si>
  <si>
    <t>Amoi Sani Samosir</t>
  </si>
  <si>
    <t>Cleaning Service</t>
  </si>
  <si>
    <t>Amran Nasution</t>
  </si>
  <si>
    <t>Andes Putra Tunggal</t>
  </si>
  <si>
    <t>Welder</t>
  </si>
  <si>
    <t>Ardiansah Siregar</t>
  </si>
  <si>
    <t>Ardiansyah Lubis</t>
  </si>
  <si>
    <t>Ardin Sormin</t>
  </si>
  <si>
    <t>Arlin Frengki Sihombing</t>
  </si>
  <si>
    <t>Arnold</t>
  </si>
  <si>
    <t>Drilling Crew 734</t>
  </si>
  <si>
    <t>Berkat Jaya Zebua</t>
  </si>
  <si>
    <t>Daud Halomoan</t>
  </si>
  <si>
    <t>Dedi Santo Zebua</t>
  </si>
  <si>
    <t>Dodi Syaputra</t>
  </si>
  <si>
    <t>Doli Saputra Batubara</t>
  </si>
  <si>
    <t>Erdianto</t>
  </si>
  <si>
    <t>Security</t>
  </si>
  <si>
    <t>Erwin Syaputra Lubis</t>
  </si>
  <si>
    <t>Fauzi Hamonangan Sibuea</t>
  </si>
  <si>
    <t>Feri Hidayat</t>
  </si>
  <si>
    <t>Heldiansyah Panggabean</t>
  </si>
  <si>
    <t>Hendri Fitriadi Sagala</t>
  </si>
  <si>
    <t>Hendri Saputra</t>
  </si>
  <si>
    <t>Electrician</t>
  </si>
  <si>
    <t>Heri Hamjah</t>
  </si>
  <si>
    <t>Ikhwan Amin Pardede</t>
  </si>
  <si>
    <t>Ismail Sihombing</t>
  </si>
  <si>
    <t>Jamaluddin Pane</t>
  </si>
  <si>
    <t>Jumalin</t>
  </si>
  <si>
    <t>Khoirul Anwar Siregar</t>
  </si>
  <si>
    <t>Magrib Efendi Batu Bara</t>
  </si>
  <si>
    <t>Mandala Putra Hasibuan</t>
  </si>
  <si>
    <t>Marali Tua Simanungkalit</t>
  </si>
  <si>
    <t>Mardianto Rambe</t>
  </si>
  <si>
    <t>Mardiyanto</t>
  </si>
  <si>
    <t>Maria Simatupang</t>
  </si>
  <si>
    <t>MUD Control</t>
  </si>
  <si>
    <t>Marlinus Waruhu</t>
  </si>
  <si>
    <t>Marwan Efendi</t>
  </si>
  <si>
    <t>Masriadi Galingging</t>
  </si>
  <si>
    <t>Drilling Crew</t>
  </si>
  <si>
    <t>Miserrianus</t>
  </si>
  <si>
    <t>Muhammad Febrian Kosasih</t>
  </si>
  <si>
    <t>Crew Loading Point</t>
  </si>
  <si>
    <t>Muhammad Ifan</t>
  </si>
  <si>
    <t>Muhammad Rizal Siregar</t>
  </si>
  <si>
    <t>Muliadi</t>
  </si>
  <si>
    <t>Pardamean Lubis</t>
  </si>
  <si>
    <t>Rahmad Diki Harahap</t>
  </si>
  <si>
    <t>Rahmadsyah Siregar</t>
  </si>
  <si>
    <t>Redi Robert Siahaan</t>
  </si>
  <si>
    <t>Ridoan Siregar</t>
  </si>
  <si>
    <t>Riduwan Nainggolan</t>
  </si>
  <si>
    <t>Rito Siregar</t>
  </si>
  <si>
    <t>Ronaldo Simamora</t>
  </si>
  <si>
    <t>Ruth Lamey Marlina Pasaribu</t>
  </si>
  <si>
    <t>Sabarudin Pohan</t>
  </si>
  <si>
    <t>Saedar Mulia Lubis</t>
  </si>
  <si>
    <t>Sahlan Harahap</t>
  </si>
  <si>
    <t>Saut Halomoan Rambe</t>
  </si>
  <si>
    <t>Saut Pardamean Pulungan</t>
  </si>
  <si>
    <t>Stepan Dearmon Zebua</t>
  </si>
  <si>
    <t>Suar Efendi</t>
  </si>
  <si>
    <t>Suparmin</t>
  </si>
  <si>
    <t>Masinis</t>
  </si>
  <si>
    <t>Surya Agustus Silalahi</t>
  </si>
  <si>
    <t>Triadi Saputra</t>
  </si>
  <si>
    <t>Viki Candra Siregar</t>
  </si>
  <si>
    <t>Crew Drilling</t>
  </si>
  <si>
    <t>Wahyudi</t>
  </si>
  <si>
    <t>Wahyudi Amanda</t>
  </si>
  <si>
    <t>Welda Herman Lubis</t>
  </si>
  <si>
    <t>Zainal Arifin Hasibuan</t>
  </si>
  <si>
    <t>TOTAL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</si>
</sst>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BE6B"/>
        <bgColor rgb="FF000000"/>
      </patternFill>
    </fill>
    <fill>
      <patternFill patternType="solid">
        <fgColor rgb="FFEAEBAF"/>
        <bgColor rgb="FF000000"/>
      </patternFill>
    </fill>
  </fills>
  <borders count="5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3" numFmtId="0" fillId="2" borderId="2" applyFont="1" applyNumberFormat="0" applyFill="1" applyBorder="1" applyAlignment="0">
      <alignment horizontal="general" vertical="bottom" textRotation="0" wrapText="false" shrinkToFit="false"/>
    </xf>
    <xf xfId="0" fontId="3" numFmtId="0" fillId="2" borderId="3" applyFont="1" applyNumberFormat="0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3" fillId="3" borderId="0" applyFont="0" applyNumberFormat="1" applyFill="1" applyBorder="0" applyAlignment="0">
      <alignment horizontal="general" vertical="bottom" textRotation="0" wrapText="false" shrinkToFit="false"/>
    </xf>
    <xf xfId="0" fontId="3" numFmtId="3" fillId="2" borderId="3" applyFont="1" applyNumberFormat="1" applyFill="1" applyBorder="1" applyAlignment="0">
      <alignment horizontal="general" vertical="bottom" textRotation="0" wrapText="false" shrinkToFit="false"/>
    </xf>
    <xf xfId="0" fontId="3" numFmtId="3" fillId="2" borderId="4" applyFont="1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6"/>
  <sheetViews>
    <sheetView tabSelected="1" workbookViewId="0" showGridLines="true" showRowColHeaders="1">
      <pane xSplit="2" ySplit="9" topLeftCell="C10" activePane="bottomRight" state="frozen"/>
      <selection pane="topRight"/>
      <selection pane="bottomLeft"/>
      <selection pane="bottomRight" activeCell="D8" sqref="D8:Z86"/>
    </sheetView>
  </sheetViews>
  <sheetFormatPr defaultRowHeight="14.4" outlineLevelRow="0" outlineLevelCol="0"/>
  <cols>
    <col min="2" max="2" width="32" bestFit="true" customWidth="true" style="0"/>
    <col min="3" max="3" width="11" bestFit="true" customWidth="true" style="0"/>
    <col min="4" max="4" width="22" bestFit="true" customWidth="true" style="0"/>
    <col min="5" max="5" width="15" bestFit="true" customWidth="true" style="0"/>
    <col min="6" max="6" width="21" bestFit="true" customWidth="true" style="0"/>
    <col min="7" max="7" width="29" bestFit="true" customWidth="true" style="0"/>
    <col min="8" max="8" width="22" bestFit="true" customWidth="true" style="0"/>
    <col min="9" max="9" width="15" bestFit="true" customWidth="true" style="0"/>
    <col min="10" max="10" width="23" bestFit="true" customWidth="true" style="0"/>
    <col min="11" max="11" width="26" bestFit="true" customWidth="true" style="0"/>
    <col min="12" max="12" width="25" bestFit="true" customWidth="true" style="0"/>
    <col min="13" max="13" width="13" bestFit="true" customWidth="true" style="0"/>
    <col min="14" max="14" width="4" bestFit="true" customWidth="true" style="0"/>
    <col min="15" max="15" width="9" bestFit="true" customWidth="true" style="0"/>
    <col min="16" max="16" width="17" bestFit="true" customWidth="true" style="0"/>
    <col min="17" max="17" width="24" bestFit="true" customWidth="true" style="0"/>
    <col min="18" max="18" width="15" bestFit="true" customWidth="true" style="0"/>
    <col min="19" max="19" width="15" bestFit="true" customWidth="true" style="0"/>
    <col min="20" max="20" width="17" bestFit="true" customWidth="true" style="0"/>
    <col min="21" max="21" width="18" bestFit="true" customWidth="true" style="0"/>
    <col min="22" max="22" width="4" bestFit="true" customWidth="true" style="0"/>
    <col min="23" max="23" width="4" bestFit="true" customWidth="true" style="0"/>
    <col min="24" max="24" width="31" bestFit="true" customWidth="true" style="0"/>
    <col min="25" max="25" width="15" bestFit="true" customWidth="true" style="0"/>
    <col min="26" max="26" width="16" bestFit="true" customWidth="true" style="0"/>
  </cols>
  <sheetData>
    <row r="1" spans="1:26">
      <c r="A1" s="2" t="s">
        <v>0</v>
      </c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</v>
      </c>
      <c r="B2" s="3"/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4" t="s">
        <v>2</v>
      </c>
      <c r="B3" s="4"/>
      <c r="C3" s="4"/>
      <c r="D3" s="4"/>
      <c r="E3" s="4"/>
      <c r="F3" s="4"/>
      <c r="G3" s="4"/>
    </row>
    <row r="4" spans="1:26">
      <c r="A4" s="4" t="s">
        <v>3</v>
      </c>
      <c r="B4" s="4"/>
      <c r="C4" s="4"/>
      <c r="D4" s="4"/>
      <c r="E4" s="4"/>
      <c r="F4" s="4"/>
      <c r="G4" s="4"/>
    </row>
    <row r="5" spans="1:26">
      <c r="A5" s="4" t="s">
        <v>4</v>
      </c>
      <c r="B5" s="4"/>
      <c r="C5" s="4"/>
      <c r="D5" s="4"/>
      <c r="E5" s="4"/>
      <c r="F5" s="4"/>
      <c r="G5" s="4"/>
    </row>
    <row r="6" spans="1:2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19</v>
      </c>
      <c r="P6" s="6" t="s">
        <v>20</v>
      </c>
      <c r="Q6" s="6" t="s">
        <v>21</v>
      </c>
      <c r="R6" s="6" t="s">
        <v>22</v>
      </c>
      <c r="S6" s="6" t="s">
        <v>23</v>
      </c>
      <c r="T6" s="6" t="s">
        <v>24</v>
      </c>
      <c r="U6" s="6" t="s">
        <v>25</v>
      </c>
      <c r="V6" s="6" t="s">
        <v>26</v>
      </c>
      <c r="W6" s="6" t="s">
        <v>27</v>
      </c>
      <c r="X6" s="6" t="s">
        <v>28</v>
      </c>
      <c r="Y6" s="6" t="s">
        <v>29</v>
      </c>
      <c r="Z6" s="6" t="s">
        <v>30</v>
      </c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7" t="s">
        <v>31</v>
      </c>
      <c r="B8" s="7" t="s">
        <v>32</v>
      </c>
      <c r="C8" s="7" t="s">
        <v>33</v>
      </c>
      <c r="D8" s="11" t="s">
        <v>34</v>
      </c>
      <c r="E8" s="11" t="s">
        <v>35</v>
      </c>
      <c r="F8" s="11" t="s">
        <v>36</v>
      </c>
      <c r="G8" s="11" t="s">
        <v>37</v>
      </c>
      <c r="H8" s="11" t="s">
        <v>38</v>
      </c>
      <c r="I8" s="11" t="s">
        <v>39</v>
      </c>
      <c r="J8" s="11" t="s">
        <v>40</v>
      </c>
      <c r="K8" s="11" t="s">
        <v>41</v>
      </c>
      <c r="L8" s="11" t="s">
        <v>42</v>
      </c>
      <c r="M8" s="11" t="s">
        <v>43</v>
      </c>
      <c r="N8" s="11" t="s">
        <v>44</v>
      </c>
      <c r="O8" s="11" t="s">
        <v>45</v>
      </c>
      <c r="P8" s="11" t="s">
        <v>46</v>
      </c>
      <c r="Q8" s="11" t="s">
        <v>47</v>
      </c>
      <c r="R8" s="11" t="s">
        <v>48</v>
      </c>
      <c r="S8" s="11" t="s">
        <v>49</v>
      </c>
      <c r="T8" s="11" t="s">
        <v>50</v>
      </c>
      <c r="U8" s="11" t="s">
        <v>51</v>
      </c>
      <c r="V8" s="11" t="s">
        <v>52</v>
      </c>
      <c r="W8" s="11" t="s">
        <v>53</v>
      </c>
      <c r="X8" s="11" t="s">
        <v>54</v>
      </c>
      <c r="Y8" s="11" t="s">
        <v>55</v>
      </c>
      <c r="Z8" s="11" t="s">
        <v>56</v>
      </c>
    </row>
    <row r="9" spans="1:26"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>
        <v>1</v>
      </c>
      <c r="B10" t="s">
        <v>57</v>
      </c>
      <c r="C10"/>
      <c r="D10" s="12" t="s">
        <v>58</v>
      </c>
      <c r="E10" s="12">
        <v>3387081.0</v>
      </c>
      <c r="F10" s="12">
        <v>10</v>
      </c>
      <c r="G10" s="12">
        <v>10</v>
      </c>
      <c r="H10" s="12">
        <v>1693540.5</v>
      </c>
      <c r="I10" s="12">
        <v>1468387.71</v>
      </c>
      <c r="J10" s="12">
        <v>60000</v>
      </c>
      <c r="K10" s="12">
        <v>100000</v>
      </c>
      <c r="L10" s="12">
        <v>254031</v>
      </c>
      <c r="M10" s="12">
        <v>0</v>
      </c>
      <c r="N10" s="12">
        <v>0</v>
      </c>
      <c r="O10" s="12">
        <v>0.0</v>
      </c>
      <c r="P10" s="12">
        <f>E10*4.00%</f>
        <v>135483.24</v>
      </c>
      <c r="Q10" s="12">
        <f>E10*5.74%</f>
        <v>194418.4494</v>
      </c>
      <c r="R10" s="12">
        <f>E10*2.00%</f>
        <v>67741.62</v>
      </c>
      <c r="S10" s="12">
        <f>ROUND(SUM(H10:R10),0)</f>
        <v>3973603</v>
      </c>
      <c r="T10" s="12">
        <f>ROUND(S10*13%,0)</f>
        <v>516568</v>
      </c>
      <c r="U10" s="12">
        <v>0</v>
      </c>
      <c r="V10" s="12">
        <v>0</v>
      </c>
      <c r="W10" s="12">
        <v>0</v>
      </c>
      <c r="X10" s="12">
        <f>U10+V10+W10</f>
        <v>0</v>
      </c>
      <c r="Y10" s="12">
        <f>X10*5%</f>
        <v>0</v>
      </c>
      <c r="Z10" s="12">
        <f>ROUND(S10+T10+X10+Y10,0)</f>
        <v>4490171</v>
      </c>
    </row>
    <row r="11" spans="1:26">
      <c r="A11" s="8">
        <v>2</v>
      </c>
      <c r="B11" s="8" t="s">
        <v>59</v>
      </c>
      <c r="C11" s="8"/>
      <c r="D11" s="13" t="s">
        <v>60</v>
      </c>
      <c r="E11" s="13">
        <v>3387081.0</v>
      </c>
      <c r="F11" s="13">
        <v>12</v>
      </c>
      <c r="G11" s="13">
        <v>11</v>
      </c>
      <c r="H11" s="13">
        <v>2032248.6</v>
      </c>
      <c r="I11" s="13">
        <v>1762065.26</v>
      </c>
      <c r="J11" s="13">
        <v>72000</v>
      </c>
      <c r="K11" s="13">
        <v>120000</v>
      </c>
      <c r="L11" s="13">
        <v>279434</v>
      </c>
      <c r="M11" s="13">
        <v>0</v>
      </c>
      <c r="N11" s="13">
        <v>0</v>
      </c>
      <c r="O11" s="13">
        <v>0.0</v>
      </c>
      <c r="P11" s="13">
        <f>E11*4.00%</f>
        <v>135483.24</v>
      </c>
      <c r="Q11" s="13">
        <f>E11*5.74%</f>
        <v>194418.4494</v>
      </c>
      <c r="R11" s="13">
        <f>E11*2.00%</f>
        <v>67741.62</v>
      </c>
      <c r="S11" s="13">
        <f>ROUND(SUM(H11:R11),0)</f>
        <v>4663391</v>
      </c>
      <c r="T11" s="13">
        <f>ROUND(S11*13%,0)</f>
        <v>606241</v>
      </c>
      <c r="U11" s="13">
        <v>0</v>
      </c>
      <c r="V11" s="13">
        <v>0</v>
      </c>
      <c r="W11" s="13">
        <v>0</v>
      </c>
      <c r="X11" s="13">
        <f>U11+V11+W11</f>
        <v>0</v>
      </c>
      <c r="Y11" s="13">
        <f>X11*5%</f>
        <v>0</v>
      </c>
      <c r="Z11" s="13">
        <f>ROUND(S11+T11+X11+Y11,0)</f>
        <v>5269632</v>
      </c>
    </row>
    <row r="12" spans="1:26">
      <c r="A12">
        <v>3</v>
      </c>
      <c r="B12" t="s">
        <v>61</v>
      </c>
      <c r="C12"/>
      <c r="D12" s="12" t="s">
        <v>60</v>
      </c>
      <c r="E12" s="12">
        <v>3387081.0</v>
      </c>
      <c r="F12" s="12">
        <v>10</v>
      </c>
      <c r="G12" s="12">
        <v>0</v>
      </c>
      <c r="H12" s="12">
        <v>1693540.5</v>
      </c>
      <c r="I12" s="12">
        <v>1468387.71</v>
      </c>
      <c r="J12" s="12">
        <v>60000</v>
      </c>
      <c r="K12" s="12">
        <v>100000</v>
      </c>
      <c r="L12" s="12">
        <v>0</v>
      </c>
      <c r="M12" s="12">
        <v>0</v>
      </c>
      <c r="N12" s="12">
        <v>0</v>
      </c>
      <c r="O12" s="12">
        <v>0.0</v>
      </c>
      <c r="P12" s="12">
        <f>E12*4.00%</f>
        <v>135483.24</v>
      </c>
      <c r="Q12" s="12">
        <f>E12*5.74%</f>
        <v>194418.4494</v>
      </c>
      <c r="R12" s="12">
        <f>E12*2.00%</f>
        <v>67741.62</v>
      </c>
      <c r="S12" s="12">
        <f>ROUND(SUM(H12:R12),0)</f>
        <v>3719572</v>
      </c>
      <c r="T12" s="12">
        <f>ROUND(S12*13%,0)</f>
        <v>483544</v>
      </c>
      <c r="U12" s="12">
        <v>0</v>
      </c>
      <c r="V12" s="12">
        <v>0</v>
      </c>
      <c r="W12" s="12">
        <v>0</v>
      </c>
      <c r="X12" s="12">
        <f>U12+V12+W12</f>
        <v>0</v>
      </c>
      <c r="Y12" s="12">
        <f>X12*5%</f>
        <v>0</v>
      </c>
      <c r="Z12" s="12">
        <f>ROUND(S12+T12+X12+Y12,0)</f>
        <v>4203116</v>
      </c>
    </row>
    <row r="13" spans="1:26">
      <c r="A13" s="8">
        <v>4</v>
      </c>
      <c r="B13" s="8" t="s">
        <v>62</v>
      </c>
      <c r="C13" s="8"/>
      <c r="D13" s="13" t="s">
        <v>63</v>
      </c>
      <c r="E13" s="13">
        <v>3387081.0</v>
      </c>
      <c r="F13" s="13">
        <v>8</v>
      </c>
      <c r="G13" s="13">
        <v>8</v>
      </c>
      <c r="H13" s="13">
        <v>1354832.4</v>
      </c>
      <c r="I13" s="13">
        <v>1174710.17</v>
      </c>
      <c r="J13" s="13">
        <v>48000</v>
      </c>
      <c r="K13" s="13">
        <v>80000</v>
      </c>
      <c r="L13" s="13">
        <v>203225</v>
      </c>
      <c r="M13" s="13">
        <v>0</v>
      </c>
      <c r="N13" s="13">
        <v>0</v>
      </c>
      <c r="O13" s="13">
        <v>0.0</v>
      </c>
      <c r="P13" s="13">
        <f>E13*4.00%</f>
        <v>135483.24</v>
      </c>
      <c r="Q13" s="13">
        <f>E13*5.74%</f>
        <v>194418.4494</v>
      </c>
      <c r="R13" s="13">
        <f>E13*2.00%</f>
        <v>67741.62</v>
      </c>
      <c r="S13" s="13">
        <f>ROUND(SUM(H13:R13),0)</f>
        <v>3258411</v>
      </c>
      <c r="T13" s="13">
        <f>ROUND(S13*13%,0)</f>
        <v>423593</v>
      </c>
      <c r="U13" s="13">
        <v>0</v>
      </c>
      <c r="V13" s="13">
        <v>0</v>
      </c>
      <c r="W13" s="13">
        <v>0</v>
      </c>
      <c r="X13" s="13">
        <f>U13+V13+W13</f>
        <v>0</v>
      </c>
      <c r="Y13" s="13">
        <f>X13*5%</f>
        <v>0</v>
      </c>
      <c r="Z13" s="13">
        <f>ROUND(S13+T13+X13+Y13,0)</f>
        <v>3682004</v>
      </c>
    </row>
    <row r="14" spans="1:26">
      <c r="A14">
        <v>5</v>
      </c>
      <c r="B14" t="s">
        <v>64</v>
      </c>
      <c r="C14"/>
      <c r="D14" s="12" t="s">
        <v>65</v>
      </c>
      <c r="E14" s="12">
        <v>3387081.0</v>
      </c>
      <c r="F14" s="12">
        <v>12</v>
      </c>
      <c r="G14" s="12">
        <v>0</v>
      </c>
      <c r="H14" s="12">
        <v>2032248.6</v>
      </c>
      <c r="I14" s="12">
        <v>1762065.26</v>
      </c>
      <c r="J14" s="12">
        <v>72000</v>
      </c>
      <c r="K14" s="12">
        <v>120000</v>
      </c>
      <c r="L14" s="12">
        <v>0</v>
      </c>
      <c r="M14" s="12">
        <v>0</v>
      </c>
      <c r="N14" s="12">
        <v>0</v>
      </c>
      <c r="O14" s="12">
        <v>0.0</v>
      </c>
      <c r="P14" s="12">
        <f>E14*4.00%</f>
        <v>135483.24</v>
      </c>
      <c r="Q14" s="12">
        <f>E14*5.74%</f>
        <v>194418.4494</v>
      </c>
      <c r="R14" s="12">
        <f>E14*2.00%</f>
        <v>67741.62</v>
      </c>
      <c r="S14" s="12">
        <f>ROUND(SUM(H14:R14),0)</f>
        <v>4383957</v>
      </c>
      <c r="T14" s="12">
        <f>ROUND(S14*13%,0)</f>
        <v>569914</v>
      </c>
      <c r="U14" s="12">
        <v>0</v>
      </c>
      <c r="V14" s="12">
        <v>0</v>
      </c>
      <c r="W14" s="12">
        <v>0</v>
      </c>
      <c r="X14" s="12">
        <f>U14+V14+W14</f>
        <v>0</v>
      </c>
      <c r="Y14" s="12">
        <f>X14*5%</f>
        <v>0</v>
      </c>
      <c r="Z14" s="12">
        <f>ROUND(S14+T14+X14+Y14,0)</f>
        <v>4953871</v>
      </c>
    </row>
    <row r="15" spans="1:26">
      <c r="A15" s="8">
        <v>6</v>
      </c>
      <c r="B15" s="8" t="s">
        <v>66</v>
      </c>
      <c r="C15" s="8"/>
      <c r="D15" s="13" t="s">
        <v>63</v>
      </c>
      <c r="E15" s="13">
        <v>3387081.0</v>
      </c>
      <c r="F15" s="13">
        <v>12</v>
      </c>
      <c r="G15" s="13">
        <v>12</v>
      </c>
      <c r="H15" s="13">
        <v>2032248.6</v>
      </c>
      <c r="I15" s="13">
        <v>1762065.26</v>
      </c>
      <c r="J15" s="13">
        <v>72000</v>
      </c>
      <c r="K15" s="13">
        <v>120000</v>
      </c>
      <c r="L15" s="13">
        <v>304837</v>
      </c>
      <c r="M15" s="13">
        <v>0</v>
      </c>
      <c r="N15" s="13">
        <v>0</v>
      </c>
      <c r="O15" s="13">
        <v>0.0</v>
      </c>
      <c r="P15" s="13">
        <f>E15*4.00%</f>
        <v>135483.24</v>
      </c>
      <c r="Q15" s="13">
        <f>E15*5.74%</f>
        <v>194418.4494</v>
      </c>
      <c r="R15" s="13">
        <f>E15*2.00%</f>
        <v>67741.62</v>
      </c>
      <c r="S15" s="13">
        <f>ROUND(SUM(H15:R15),0)</f>
        <v>4688794</v>
      </c>
      <c r="T15" s="13">
        <f>ROUND(S15*13%,0)</f>
        <v>609543</v>
      </c>
      <c r="U15" s="13">
        <v>0</v>
      </c>
      <c r="V15" s="13">
        <v>0</v>
      </c>
      <c r="W15" s="13">
        <v>0</v>
      </c>
      <c r="X15" s="13">
        <f>U15+V15+W15</f>
        <v>0</v>
      </c>
      <c r="Y15" s="13">
        <f>X15*5%</f>
        <v>0</v>
      </c>
      <c r="Z15" s="13">
        <f>ROUND(S15+T15+X15+Y15,0)</f>
        <v>5298337</v>
      </c>
    </row>
    <row r="16" spans="1:26">
      <c r="A16">
        <v>7</v>
      </c>
      <c r="B16" t="s">
        <v>67</v>
      </c>
      <c r="C16"/>
      <c r="D16" s="12" t="s">
        <v>65</v>
      </c>
      <c r="E16" s="12">
        <v>3387081.0</v>
      </c>
      <c r="F16" s="12">
        <v>2</v>
      </c>
      <c r="G16" s="12">
        <v>1</v>
      </c>
      <c r="H16" s="12">
        <v>338708.1</v>
      </c>
      <c r="I16" s="12">
        <v>293677.54</v>
      </c>
      <c r="J16" s="12">
        <v>12000</v>
      </c>
      <c r="K16" s="12">
        <v>20000</v>
      </c>
      <c r="L16" s="12">
        <v>25403</v>
      </c>
      <c r="M16" s="12">
        <v>0</v>
      </c>
      <c r="N16" s="12">
        <v>0</v>
      </c>
      <c r="O16" s="12">
        <v>0.0</v>
      </c>
      <c r="P16" s="12">
        <f>E16*4.00%</f>
        <v>135483.24</v>
      </c>
      <c r="Q16" s="12">
        <f>E16*5.74%</f>
        <v>194418.4494</v>
      </c>
      <c r="R16" s="12">
        <f>E16*2.00%</f>
        <v>67741.62</v>
      </c>
      <c r="S16" s="12">
        <f>ROUND(SUM(H16:R16),0)</f>
        <v>1087432</v>
      </c>
      <c r="T16" s="12">
        <f>ROUND(S16*13%,0)</f>
        <v>141366</v>
      </c>
      <c r="U16" s="12">
        <v>0</v>
      </c>
      <c r="V16" s="12">
        <v>0</v>
      </c>
      <c r="W16" s="12">
        <v>0</v>
      </c>
      <c r="X16" s="12">
        <f>U16+V16+W16</f>
        <v>0</v>
      </c>
      <c r="Y16" s="12">
        <f>X16*5%</f>
        <v>0</v>
      </c>
      <c r="Z16" s="12">
        <f>ROUND(S16+T16+X16+Y16,0)</f>
        <v>1228798</v>
      </c>
    </row>
    <row r="17" spans="1:26">
      <c r="A17" s="8">
        <v>8</v>
      </c>
      <c r="B17" s="8" t="s">
        <v>68</v>
      </c>
      <c r="C17" s="8"/>
      <c r="D17" s="13" t="s">
        <v>60</v>
      </c>
      <c r="E17" s="13">
        <v>3387081.0</v>
      </c>
      <c r="F17" s="13">
        <v>3</v>
      </c>
      <c r="G17" s="13">
        <v>3</v>
      </c>
      <c r="H17" s="13">
        <v>508062.15</v>
      </c>
      <c r="I17" s="13">
        <v>440516.31</v>
      </c>
      <c r="J17" s="13">
        <v>18000</v>
      </c>
      <c r="K17" s="13">
        <v>30000</v>
      </c>
      <c r="L17" s="13">
        <v>76209</v>
      </c>
      <c r="M17" s="13">
        <v>0</v>
      </c>
      <c r="N17" s="13">
        <v>0</v>
      </c>
      <c r="O17" s="13">
        <v>0.0</v>
      </c>
      <c r="P17" s="13">
        <f>E17*4.00%</f>
        <v>135483.24</v>
      </c>
      <c r="Q17" s="13">
        <f>E17*5.74%</f>
        <v>194418.4494</v>
      </c>
      <c r="R17" s="13">
        <f>E17*2.00%</f>
        <v>67741.62</v>
      </c>
      <c r="S17" s="13">
        <f>ROUND(SUM(H17:R17),0)</f>
        <v>1470431</v>
      </c>
      <c r="T17" s="13">
        <f>ROUND(S17*13%,0)</f>
        <v>191156</v>
      </c>
      <c r="U17" s="13">
        <v>0</v>
      </c>
      <c r="V17" s="13">
        <v>0</v>
      </c>
      <c r="W17" s="13">
        <v>0</v>
      </c>
      <c r="X17" s="13">
        <f>U17+V17+W17</f>
        <v>0</v>
      </c>
      <c r="Y17" s="13">
        <f>X17*5%</f>
        <v>0</v>
      </c>
      <c r="Z17" s="13">
        <f>ROUND(S17+T17+X17+Y17,0)</f>
        <v>1661587</v>
      </c>
    </row>
    <row r="18" spans="1:26">
      <c r="A18">
        <v>9</v>
      </c>
      <c r="B18" t="s">
        <v>69</v>
      </c>
      <c r="C18"/>
      <c r="D18" s="12" t="s">
        <v>70</v>
      </c>
      <c r="E18" s="12">
        <v>3387081.0</v>
      </c>
      <c r="F18" s="12">
        <v>8</v>
      </c>
      <c r="G18" s="12">
        <v>0</v>
      </c>
      <c r="H18" s="12">
        <v>1354832.4</v>
      </c>
      <c r="I18" s="12">
        <v>1174710.17</v>
      </c>
      <c r="J18" s="12">
        <v>48000</v>
      </c>
      <c r="K18" s="12">
        <v>80000</v>
      </c>
      <c r="L18" s="12">
        <v>0</v>
      </c>
      <c r="M18" s="12">
        <v>0</v>
      </c>
      <c r="N18" s="12">
        <v>0</v>
      </c>
      <c r="O18" s="12">
        <v>0.0</v>
      </c>
      <c r="P18" s="12">
        <f>E18*4.00%</f>
        <v>135483.24</v>
      </c>
      <c r="Q18" s="12">
        <f>E18*5.74%</f>
        <v>194418.4494</v>
      </c>
      <c r="R18" s="12">
        <f>E18*2.00%</f>
        <v>67741.62</v>
      </c>
      <c r="S18" s="12">
        <f>ROUND(SUM(H18:R18),0)</f>
        <v>3055186</v>
      </c>
      <c r="T18" s="12">
        <f>ROUND(S18*13%,0)</f>
        <v>397174</v>
      </c>
      <c r="U18" s="12">
        <v>0</v>
      </c>
      <c r="V18" s="12">
        <v>0</v>
      </c>
      <c r="W18" s="12">
        <v>0</v>
      </c>
      <c r="X18" s="12">
        <f>U18+V18+W18</f>
        <v>0</v>
      </c>
      <c r="Y18" s="12">
        <f>X18*5%</f>
        <v>0</v>
      </c>
      <c r="Z18" s="12">
        <f>ROUND(S18+T18+X18+Y18,0)</f>
        <v>3452360</v>
      </c>
    </row>
    <row r="19" spans="1:26">
      <c r="A19" s="8">
        <v>10</v>
      </c>
      <c r="B19" s="8" t="s">
        <v>71</v>
      </c>
      <c r="C19" s="8"/>
      <c r="D19" s="13" t="s">
        <v>72</v>
      </c>
      <c r="E19" s="13">
        <v>3387081.0</v>
      </c>
      <c r="F19" s="13">
        <v>13</v>
      </c>
      <c r="G19" s="13">
        <v>2</v>
      </c>
      <c r="H19" s="13">
        <v>2201602.65</v>
      </c>
      <c r="I19" s="13">
        <v>1908904.04</v>
      </c>
      <c r="J19" s="13">
        <v>78000</v>
      </c>
      <c r="K19" s="13">
        <v>130000</v>
      </c>
      <c r="L19" s="13">
        <v>50806</v>
      </c>
      <c r="M19" s="13">
        <v>0</v>
      </c>
      <c r="N19" s="13">
        <v>0</v>
      </c>
      <c r="O19" s="13">
        <v>0.0</v>
      </c>
      <c r="P19" s="13">
        <f>E19*4.00%</f>
        <v>135483.24</v>
      </c>
      <c r="Q19" s="13">
        <f>E19*5.74%</f>
        <v>194418.4494</v>
      </c>
      <c r="R19" s="13">
        <f>E19*2.00%</f>
        <v>67741.62</v>
      </c>
      <c r="S19" s="13">
        <f>ROUND(SUM(H19:R19),0)</f>
        <v>4766956</v>
      </c>
      <c r="T19" s="13">
        <f>ROUND(S19*13%,0)</f>
        <v>619704</v>
      </c>
      <c r="U19" s="13">
        <v>0</v>
      </c>
      <c r="V19" s="13">
        <v>0</v>
      </c>
      <c r="W19" s="13">
        <v>0</v>
      </c>
      <c r="X19" s="13">
        <f>U19+V19+W19</f>
        <v>0</v>
      </c>
      <c r="Y19" s="13">
        <f>X19*5%</f>
        <v>0</v>
      </c>
      <c r="Z19" s="13">
        <f>ROUND(S19+T19+X19+Y19,0)</f>
        <v>5386660</v>
      </c>
    </row>
    <row r="20" spans="1:26">
      <c r="A20">
        <v>11</v>
      </c>
      <c r="B20" t="s">
        <v>73</v>
      </c>
      <c r="C20"/>
      <c r="D20" s="12" t="s">
        <v>74</v>
      </c>
      <c r="E20" s="12">
        <v>3387081.0</v>
      </c>
      <c r="F20" s="12">
        <v>16</v>
      </c>
      <c r="G20" s="12">
        <v>0</v>
      </c>
      <c r="H20" s="12">
        <v>2709664.8</v>
      </c>
      <c r="I20" s="12">
        <v>469884.07</v>
      </c>
      <c r="J20" s="12">
        <v>96000</v>
      </c>
      <c r="K20" s="12">
        <v>160000</v>
      </c>
      <c r="L20" s="12">
        <v>0</v>
      </c>
      <c r="M20" s="12">
        <v>0</v>
      </c>
      <c r="N20" s="12">
        <v>0</v>
      </c>
      <c r="O20" s="12">
        <v>0.0</v>
      </c>
      <c r="P20" s="12">
        <f>E20*4.00%</f>
        <v>135483.24</v>
      </c>
      <c r="Q20" s="12">
        <f>E20*5.74%</f>
        <v>194418.4494</v>
      </c>
      <c r="R20" s="12">
        <f>E20*2.00%</f>
        <v>67741.62</v>
      </c>
      <c r="S20" s="12">
        <f>ROUND(SUM(H20:R20),0)</f>
        <v>3833192</v>
      </c>
      <c r="T20" s="12">
        <f>ROUND(S20*13%,0)</f>
        <v>498315</v>
      </c>
      <c r="U20" s="12">
        <v>0</v>
      </c>
      <c r="V20" s="12">
        <v>0</v>
      </c>
      <c r="W20" s="12">
        <v>0</v>
      </c>
      <c r="X20" s="12">
        <f>U20+V20+W20</f>
        <v>0</v>
      </c>
      <c r="Y20" s="12">
        <f>X20*5%</f>
        <v>0</v>
      </c>
      <c r="Z20" s="12">
        <f>ROUND(S20+T20+X20+Y20,0)</f>
        <v>4331507</v>
      </c>
    </row>
    <row r="21" spans="1:26">
      <c r="A21" s="8">
        <v>12</v>
      </c>
      <c r="B21" s="8" t="s">
        <v>75</v>
      </c>
      <c r="C21" s="8"/>
      <c r="D21" s="13" t="s">
        <v>65</v>
      </c>
      <c r="E21" s="13">
        <v>3387081.0</v>
      </c>
      <c r="F21" s="13">
        <v>17</v>
      </c>
      <c r="G21" s="13">
        <v>4</v>
      </c>
      <c r="H21" s="13">
        <v>2879018.85</v>
      </c>
      <c r="I21" s="13">
        <v>2496259.11</v>
      </c>
      <c r="J21" s="13">
        <v>102000</v>
      </c>
      <c r="K21" s="13">
        <v>170000</v>
      </c>
      <c r="L21" s="13">
        <v>101612</v>
      </c>
      <c r="M21" s="13">
        <v>0</v>
      </c>
      <c r="N21" s="13">
        <v>0</v>
      </c>
      <c r="O21" s="13">
        <v>0.0</v>
      </c>
      <c r="P21" s="13">
        <f>E21*4.00%</f>
        <v>135483.24</v>
      </c>
      <c r="Q21" s="13">
        <f>E21*5.74%</f>
        <v>194418.4494</v>
      </c>
      <c r="R21" s="13">
        <f>E21*2.00%</f>
        <v>67741.62</v>
      </c>
      <c r="S21" s="13">
        <f>ROUND(SUM(H21:R21),0)</f>
        <v>6146533</v>
      </c>
      <c r="T21" s="13">
        <f>ROUND(S21*13%,0)</f>
        <v>799049</v>
      </c>
      <c r="U21" s="13">
        <v>0</v>
      </c>
      <c r="V21" s="13">
        <v>0</v>
      </c>
      <c r="W21" s="13">
        <v>0</v>
      </c>
      <c r="X21" s="13">
        <f>U21+V21+W21</f>
        <v>0</v>
      </c>
      <c r="Y21" s="13">
        <f>X21*5%</f>
        <v>0</v>
      </c>
      <c r="Z21" s="13">
        <f>ROUND(S21+T21+X21+Y21,0)</f>
        <v>6945582</v>
      </c>
    </row>
    <row r="22" spans="1:26">
      <c r="A22">
        <v>13</v>
      </c>
      <c r="B22" t="s">
        <v>76</v>
      </c>
      <c r="C22"/>
      <c r="D22" s="12" t="s">
        <v>77</v>
      </c>
      <c r="E22" s="12">
        <v>3387081.0</v>
      </c>
      <c r="F22" s="12">
        <v>10</v>
      </c>
      <c r="G22" s="12">
        <v>0</v>
      </c>
      <c r="H22" s="12">
        <v>1693540.5</v>
      </c>
      <c r="I22" s="12">
        <v>1468387.71</v>
      </c>
      <c r="J22" s="12">
        <v>60000</v>
      </c>
      <c r="K22" s="12">
        <v>100000</v>
      </c>
      <c r="L22" s="12">
        <v>0</v>
      </c>
      <c r="M22" s="12">
        <v>0</v>
      </c>
      <c r="N22" s="12">
        <v>0</v>
      </c>
      <c r="O22" s="12">
        <v>0.0</v>
      </c>
      <c r="P22" s="12">
        <f>E22*4.00%</f>
        <v>135483.24</v>
      </c>
      <c r="Q22" s="12">
        <f>E22*5.74%</f>
        <v>194418.4494</v>
      </c>
      <c r="R22" s="12">
        <f>E22*2.00%</f>
        <v>67741.62</v>
      </c>
      <c r="S22" s="12">
        <f>ROUND(SUM(H22:R22),0)</f>
        <v>3719572</v>
      </c>
      <c r="T22" s="12">
        <f>ROUND(S22*13%,0)</f>
        <v>483544</v>
      </c>
      <c r="U22" s="12">
        <v>0</v>
      </c>
      <c r="V22" s="12">
        <v>0</v>
      </c>
      <c r="W22" s="12">
        <v>0</v>
      </c>
      <c r="X22" s="12">
        <f>U22+V22+W22</f>
        <v>0</v>
      </c>
      <c r="Y22" s="12">
        <f>X22*5%</f>
        <v>0</v>
      </c>
      <c r="Z22" s="12">
        <f>ROUND(S22+T22+X22+Y22,0)</f>
        <v>4203116</v>
      </c>
    </row>
    <row r="23" spans="1:26">
      <c r="A23" s="8">
        <v>14</v>
      </c>
      <c r="B23" s="8" t="s">
        <v>78</v>
      </c>
      <c r="C23" s="8"/>
      <c r="D23" s="13" t="s">
        <v>72</v>
      </c>
      <c r="E23" s="13">
        <v>3387081.0</v>
      </c>
      <c r="F23" s="13">
        <v>23</v>
      </c>
      <c r="G23" s="13">
        <v>0</v>
      </c>
      <c r="H23" s="13">
        <v>3895143.15</v>
      </c>
      <c r="I23" s="13">
        <v>3377291.75</v>
      </c>
      <c r="J23" s="13">
        <v>138000</v>
      </c>
      <c r="K23" s="13">
        <v>230000</v>
      </c>
      <c r="L23" s="13">
        <v>0</v>
      </c>
      <c r="M23" s="13">
        <v>0</v>
      </c>
      <c r="N23" s="13">
        <v>0</v>
      </c>
      <c r="O23" s="13">
        <v>0.0</v>
      </c>
      <c r="P23" s="13">
        <f>E23*4.00%</f>
        <v>135483.24</v>
      </c>
      <c r="Q23" s="13">
        <f>E23*5.74%</f>
        <v>194418.4494</v>
      </c>
      <c r="R23" s="13">
        <f>E23*2.00%</f>
        <v>67741.62</v>
      </c>
      <c r="S23" s="13">
        <f>ROUND(SUM(H23:R23),0)</f>
        <v>8038078</v>
      </c>
      <c r="T23" s="13">
        <f>ROUND(S23*13%,0)</f>
        <v>1044950</v>
      </c>
      <c r="U23" s="13">
        <v>0</v>
      </c>
      <c r="V23" s="13">
        <v>0</v>
      </c>
      <c r="W23" s="13">
        <v>0</v>
      </c>
      <c r="X23" s="13">
        <f>U23+V23+W23</f>
        <v>0</v>
      </c>
      <c r="Y23" s="13">
        <f>X23*5%</f>
        <v>0</v>
      </c>
      <c r="Z23" s="13">
        <f>ROUND(S23+T23+X23+Y23,0)</f>
        <v>9083028</v>
      </c>
    </row>
    <row r="24" spans="1:26">
      <c r="A24">
        <v>15</v>
      </c>
      <c r="B24" t="s">
        <v>79</v>
      </c>
      <c r="C24"/>
      <c r="D24" s="12" t="s">
        <v>60</v>
      </c>
      <c r="E24" s="12">
        <v>3387081.0</v>
      </c>
      <c r="F24" s="12">
        <v>9</v>
      </c>
      <c r="G24" s="12">
        <v>7</v>
      </c>
      <c r="H24" s="12">
        <v>1524186.45</v>
      </c>
      <c r="I24" s="12">
        <v>1321548.95</v>
      </c>
      <c r="J24" s="12">
        <v>54000</v>
      </c>
      <c r="K24" s="12">
        <v>90000</v>
      </c>
      <c r="L24" s="12">
        <v>177822</v>
      </c>
      <c r="M24" s="12">
        <v>0</v>
      </c>
      <c r="N24" s="12">
        <v>0</v>
      </c>
      <c r="O24" s="12">
        <v>0.0</v>
      </c>
      <c r="P24" s="12">
        <f>E24*4.00%</f>
        <v>135483.24</v>
      </c>
      <c r="Q24" s="12">
        <f>E24*5.74%</f>
        <v>194418.4494</v>
      </c>
      <c r="R24" s="12">
        <f>E24*2.00%</f>
        <v>67741.62</v>
      </c>
      <c r="S24" s="12">
        <f>ROUND(SUM(H24:R24),0)</f>
        <v>3565201</v>
      </c>
      <c r="T24" s="12">
        <f>ROUND(S24*13%,0)</f>
        <v>463476</v>
      </c>
      <c r="U24" s="12">
        <v>0</v>
      </c>
      <c r="V24" s="12">
        <v>0</v>
      </c>
      <c r="W24" s="12">
        <v>0</v>
      </c>
      <c r="X24" s="12">
        <f>U24+V24+W24</f>
        <v>0</v>
      </c>
      <c r="Y24" s="12">
        <f>X24*5%</f>
        <v>0</v>
      </c>
      <c r="Z24" s="12">
        <f>ROUND(S24+T24+X24+Y24,0)</f>
        <v>4028677</v>
      </c>
    </row>
    <row r="25" spans="1:26">
      <c r="A25" s="8">
        <v>16</v>
      </c>
      <c r="B25" s="8" t="s">
        <v>80</v>
      </c>
      <c r="C25" s="8"/>
      <c r="D25" s="13" t="s">
        <v>60</v>
      </c>
      <c r="E25" s="13">
        <v>3387081.0</v>
      </c>
      <c r="F25" s="13">
        <v>8</v>
      </c>
      <c r="G25" s="13">
        <v>0</v>
      </c>
      <c r="H25" s="13">
        <v>1354832.4</v>
      </c>
      <c r="I25" s="13">
        <v>1174710.17</v>
      </c>
      <c r="J25" s="13">
        <v>48000</v>
      </c>
      <c r="K25" s="13">
        <v>80000</v>
      </c>
      <c r="L25" s="13">
        <v>0</v>
      </c>
      <c r="M25" s="13">
        <v>0</v>
      </c>
      <c r="N25" s="13">
        <v>0</v>
      </c>
      <c r="O25" s="13">
        <v>0.0</v>
      </c>
      <c r="P25" s="13">
        <f>E25*4.00%</f>
        <v>135483.24</v>
      </c>
      <c r="Q25" s="13">
        <f>E25*5.74%</f>
        <v>194418.4494</v>
      </c>
      <c r="R25" s="13">
        <f>E25*2.00%</f>
        <v>67741.62</v>
      </c>
      <c r="S25" s="13">
        <f>ROUND(SUM(H25:R25),0)</f>
        <v>3055186</v>
      </c>
      <c r="T25" s="13">
        <f>ROUND(S25*13%,0)</f>
        <v>397174</v>
      </c>
      <c r="U25" s="13">
        <v>0</v>
      </c>
      <c r="V25" s="13">
        <v>0</v>
      </c>
      <c r="W25" s="13">
        <v>0</v>
      </c>
      <c r="X25" s="13">
        <f>U25+V25+W25</f>
        <v>0</v>
      </c>
      <c r="Y25" s="13">
        <f>X25*5%</f>
        <v>0</v>
      </c>
      <c r="Z25" s="13">
        <f>ROUND(S25+T25+X25+Y25,0)</f>
        <v>3452360</v>
      </c>
    </row>
    <row r="26" spans="1:26">
      <c r="A26">
        <v>17</v>
      </c>
      <c r="B26" t="s">
        <v>81</v>
      </c>
      <c r="C26"/>
      <c r="D26" s="12" t="s">
        <v>58</v>
      </c>
      <c r="E26" s="12">
        <v>3387081.0</v>
      </c>
      <c r="F26" s="12">
        <v>10</v>
      </c>
      <c r="G26" s="12">
        <v>10</v>
      </c>
      <c r="H26" s="12">
        <v>1693540.5</v>
      </c>
      <c r="I26" s="12">
        <v>1468387.71</v>
      </c>
      <c r="J26" s="12">
        <v>60000</v>
      </c>
      <c r="K26" s="12">
        <v>100000</v>
      </c>
      <c r="L26" s="12">
        <v>254031</v>
      </c>
      <c r="M26" s="12">
        <v>0</v>
      </c>
      <c r="N26" s="12">
        <v>0</v>
      </c>
      <c r="O26" s="12">
        <v>0.0</v>
      </c>
      <c r="P26" s="12">
        <f>E26*4.00%</f>
        <v>135483.24</v>
      </c>
      <c r="Q26" s="12">
        <f>E26*5.74%</f>
        <v>194418.4494</v>
      </c>
      <c r="R26" s="12">
        <f>E26*2.00%</f>
        <v>67741.62</v>
      </c>
      <c r="S26" s="12">
        <f>ROUND(SUM(H26:R26),0)</f>
        <v>3973603</v>
      </c>
      <c r="T26" s="12">
        <f>ROUND(S26*13%,0)</f>
        <v>516568</v>
      </c>
      <c r="U26" s="12">
        <v>0</v>
      </c>
      <c r="V26" s="12">
        <v>0</v>
      </c>
      <c r="W26" s="12">
        <v>0</v>
      </c>
      <c r="X26" s="12">
        <f>U26+V26+W26</f>
        <v>0</v>
      </c>
      <c r="Y26" s="12">
        <f>X26*5%</f>
        <v>0</v>
      </c>
      <c r="Z26" s="12">
        <f>ROUND(S26+T26+X26+Y26,0)</f>
        <v>4490171</v>
      </c>
    </row>
    <row r="27" spans="1:26">
      <c r="A27" s="8">
        <v>18</v>
      </c>
      <c r="B27" s="8" t="s">
        <v>82</v>
      </c>
      <c r="C27" s="8"/>
      <c r="D27" s="13" t="s">
        <v>83</v>
      </c>
      <c r="E27" s="13">
        <v>3387081.0</v>
      </c>
      <c r="F27" s="13">
        <v>22</v>
      </c>
      <c r="G27" s="13">
        <v>0</v>
      </c>
      <c r="H27" s="13">
        <v>3725789.1</v>
      </c>
      <c r="I27" s="13">
        <v>3230452.98</v>
      </c>
      <c r="J27" s="13">
        <v>132000</v>
      </c>
      <c r="K27" s="13">
        <v>220000</v>
      </c>
      <c r="L27" s="13">
        <v>0</v>
      </c>
      <c r="M27" s="13">
        <v>0</v>
      </c>
      <c r="N27" s="13">
        <v>0</v>
      </c>
      <c r="O27" s="13">
        <v>0.0</v>
      </c>
      <c r="P27" s="13">
        <f>E27*4.00%</f>
        <v>135483.24</v>
      </c>
      <c r="Q27" s="13">
        <f>E27*5.74%</f>
        <v>194418.4494</v>
      </c>
      <c r="R27" s="13">
        <f>E27*2.00%</f>
        <v>67741.62</v>
      </c>
      <c r="S27" s="13">
        <f>ROUND(SUM(H27:R27),0)</f>
        <v>7705885</v>
      </c>
      <c r="T27" s="13">
        <f>ROUND(S27*13%,0)</f>
        <v>1001765</v>
      </c>
      <c r="U27" s="13">
        <v>0</v>
      </c>
      <c r="V27" s="13">
        <v>0</v>
      </c>
      <c r="W27" s="13">
        <v>0</v>
      </c>
      <c r="X27" s="13">
        <f>U27+V27+W27</f>
        <v>0</v>
      </c>
      <c r="Y27" s="13">
        <f>X27*5%</f>
        <v>0</v>
      </c>
      <c r="Z27" s="13">
        <f>ROUND(S27+T27+X27+Y27,0)</f>
        <v>8707650</v>
      </c>
    </row>
    <row r="28" spans="1:26">
      <c r="A28">
        <v>19</v>
      </c>
      <c r="B28" t="s">
        <v>84</v>
      </c>
      <c r="C28"/>
      <c r="D28" s="12" t="s">
        <v>70</v>
      </c>
      <c r="E28" s="12">
        <v>3387081.0</v>
      </c>
      <c r="F28" s="12">
        <v>18</v>
      </c>
      <c r="G28" s="12">
        <v>18</v>
      </c>
      <c r="H28" s="12">
        <v>3048372.9</v>
      </c>
      <c r="I28" s="12">
        <v>2643097.89</v>
      </c>
      <c r="J28" s="12">
        <v>108000</v>
      </c>
      <c r="K28" s="12">
        <v>180000</v>
      </c>
      <c r="L28" s="12">
        <v>457256</v>
      </c>
      <c r="M28" s="12">
        <v>0</v>
      </c>
      <c r="N28" s="12">
        <v>0</v>
      </c>
      <c r="O28" s="12">
        <v>0.0</v>
      </c>
      <c r="P28" s="12">
        <f>E28*4.00%</f>
        <v>135483.24</v>
      </c>
      <c r="Q28" s="12">
        <f>E28*5.74%</f>
        <v>194418.4494</v>
      </c>
      <c r="R28" s="12">
        <f>E28*2.00%</f>
        <v>67741.62</v>
      </c>
      <c r="S28" s="12">
        <f>ROUND(SUM(H28:R28),0)</f>
        <v>6834370</v>
      </c>
      <c r="T28" s="12">
        <f>ROUND(S28*13%,0)</f>
        <v>888468</v>
      </c>
      <c r="U28" s="12">
        <v>0</v>
      </c>
      <c r="V28" s="12">
        <v>0</v>
      </c>
      <c r="W28" s="12">
        <v>0</v>
      </c>
      <c r="X28" s="12">
        <f>U28+V28+W28</f>
        <v>0</v>
      </c>
      <c r="Y28" s="12">
        <f>X28*5%</f>
        <v>0</v>
      </c>
      <c r="Z28" s="12">
        <f>ROUND(S28+T28+X28+Y28,0)</f>
        <v>7722838</v>
      </c>
    </row>
    <row r="29" spans="1:26">
      <c r="A29" s="8">
        <v>20</v>
      </c>
      <c r="B29" s="8" t="s">
        <v>85</v>
      </c>
      <c r="C29" s="8"/>
      <c r="D29" s="13" t="s">
        <v>60</v>
      </c>
      <c r="E29" s="13">
        <v>3387081.0</v>
      </c>
      <c r="F29" s="13">
        <v>18</v>
      </c>
      <c r="G29" s="13">
        <v>0</v>
      </c>
      <c r="H29" s="13">
        <v>3048372.9</v>
      </c>
      <c r="I29" s="13">
        <v>2643097.89</v>
      </c>
      <c r="J29" s="13">
        <v>108000</v>
      </c>
      <c r="K29" s="13">
        <v>180000</v>
      </c>
      <c r="L29" s="13">
        <v>0</v>
      </c>
      <c r="M29" s="13">
        <v>0</v>
      </c>
      <c r="N29" s="13">
        <v>0</v>
      </c>
      <c r="O29" s="13">
        <v>0.0</v>
      </c>
      <c r="P29" s="13">
        <f>E29*4.00%</f>
        <v>135483.24</v>
      </c>
      <c r="Q29" s="13">
        <f>E29*5.74%</f>
        <v>194418.4494</v>
      </c>
      <c r="R29" s="13">
        <f>E29*2.00%</f>
        <v>67741.62</v>
      </c>
      <c r="S29" s="13">
        <f>ROUND(SUM(H29:R29),0)</f>
        <v>6377114</v>
      </c>
      <c r="T29" s="13">
        <f>ROUND(S29*13%,0)</f>
        <v>829025</v>
      </c>
      <c r="U29" s="13">
        <v>0</v>
      </c>
      <c r="V29" s="13">
        <v>0</v>
      </c>
      <c r="W29" s="13">
        <v>0</v>
      </c>
      <c r="X29" s="13">
        <f>U29+V29+W29</f>
        <v>0</v>
      </c>
      <c r="Y29" s="13">
        <f>X29*5%</f>
        <v>0</v>
      </c>
      <c r="Z29" s="13">
        <f>ROUND(S29+T29+X29+Y29,0)</f>
        <v>7206139</v>
      </c>
    </row>
    <row r="30" spans="1:26">
      <c r="A30">
        <v>21</v>
      </c>
      <c r="B30" t="s">
        <v>86</v>
      </c>
      <c r="C30"/>
      <c r="D30" s="12" t="s">
        <v>83</v>
      </c>
      <c r="E30" s="12">
        <v>3387081.0</v>
      </c>
      <c r="F30" s="12">
        <v>23</v>
      </c>
      <c r="G30" s="12">
        <v>0</v>
      </c>
      <c r="H30" s="12">
        <v>3895143.15</v>
      </c>
      <c r="I30" s="12">
        <v>3377291.75</v>
      </c>
      <c r="J30" s="12">
        <v>138000</v>
      </c>
      <c r="K30" s="12">
        <v>230000</v>
      </c>
      <c r="L30" s="12">
        <v>0</v>
      </c>
      <c r="M30" s="12">
        <v>0</v>
      </c>
      <c r="N30" s="12">
        <v>0</v>
      </c>
      <c r="O30" s="12">
        <v>0.0</v>
      </c>
      <c r="P30" s="12">
        <f>E30*4.00%</f>
        <v>135483.24</v>
      </c>
      <c r="Q30" s="12">
        <f>E30*5.74%</f>
        <v>194418.4494</v>
      </c>
      <c r="R30" s="12">
        <f>E30*2.00%</f>
        <v>67741.62</v>
      </c>
      <c r="S30" s="12">
        <f>ROUND(SUM(H30:R30),0)</f>
        <v>8038078</v>
      </c>
      <c r="T30" s="12">
        <f>ROUND(S30*13%,0)</f>
        <v>1044950</v>
      </c>
      <c r="U30" s="12">
        <v>0</v>
      </c>
      <c r="V30" s="12">
        <v>0</v>
      </c>
      <c r="W30" s="12">
        <v>0</v>
      </c>
      <c r="X30" s="12">
        <f>U30+V30+W30</f>
        <v>0</v>
      </c>
      <c r="Y30" s="12">
        <f>X30*5%</f>
        <v>0</v>
      </c>
      <c r="Z30" s="12">
        <f>ROUND(S30+T30+X30+Y30,0)</f>
        <v>9083028</v>
      </c>
    </row>
    <row r="31" spans="1:26">
      <c r="A31" s="8">
        <v>22</v>
      </c>
      <c r="B31" s="8" t="s">
        <v>87</v>
      </c>
      <c r="C31" s="8"/>
      <c r="D31" s="13" t="s">
        <v>70</v>
      </c>
      <c r="E31" s="13">
        <v>3387081.0</v>
      </c>
      <c r="F31" s="13">
        <v>2</v>
      </c>
      <c r="G31" s="13">
        <v>2</v>
      </c>
      <c r="H31" s="13">
        <v>338708.1</v>
      </c>
      <c r="I31" s="13">
        <v>293677.54</v>
      </c>
      <c r="J31" s="13">
        <v>12000</v>
      </c>
      <c r="K31" s="13">
        <v>20000</v>
      </c>
      <c r="L31" s="13">
        <v>50806</v>
      </c>
      <c r="M31" s="13">
        <v>0</v>
      </c>
      <c r="N31" s="13">
        <v>0</v>
      </c>
      <c r="O31" s="13">
        <v>0.0</v>
      </c>
      <c r="P31" s="13">
        <f>E31*4.00%</f>
        <v>135483.24</v>
      </c>
      <c r="Q31" s="13">
        <f>E31*5.74%</f>
        <v>194418.4494</v>
      </c>
      <c r="R31" s="13">
        <f>E31*2.00%</f>
        <v>67741.62</v>
      </c>
      <c r="S31" s="13">
        <f>ROUND(SUM(H31:R31),0)</f>
        <v>1112835</v>
      </c>
      <c r="T31" s="13">
        <f>ROUND(S31*13%,0)</f>
        <v>144669</v>
      </c>
      <c r="U31" s="13">
        <v>0</v>
      </c>
      <c r="V31" s="13">
        <v>0</v>
      </c>
      <c r="W31" s="13">
        <v>0</v>
      </c>
      <c r="X31" s="13">
        <f>U31+V31+W31</f>
        <v>0</v>
      </c>
      <c r="Y31" s="13">
        <f>X31*5%</f>
        <v>0</v>
      </c>
      <c r="Z31" s="13">
        <f>ROUND(S31+T31+X31+Y31,0)</f>
        <v>1257504</v>
      </c>
    </row>
    <row r="32" spans="1:26">
      <c r="A32">
        <v>23</v>
      </c>
      <c r="B32" t="s">
        <v>88</v>
      </c>
      <c r="C32"/>
      <c r="D32" s="12" t="s">
        <v>72</v>
      </c>
      <c r="E32" s="12">
        <v>3387081.0</v>
      </c>
      <c r="F32" s="12">
        <v>18</v>
      </c>
      <c r="G32" s="12">
        <v>5</v>
      </c>
      <c r="H32" s="12">
        <v>3048372.9</v>
      </c>
      <c r="I32" s="12">
        <v>2643097.89</v>
      </c>
      <c r="J32" s="12">
        <v>108000</v>
      </c>
      <c r="K32" s="12">
        <v>180000</v>
      </c>
      <c r="L32" s="12">
        <v>127016</v>
      </c>
      <c r="M32" s="12">
        <v>0</v>
      </c>
      <c r="N32" s="12">
        <v>0</v>
      </c>
      <c r="O32" s="12">
        <v>0.0</v>
      </c>
      <c r="P32" s="12">
        <f>E32*4.00%</f>
        <v>135483.24</v>
      </c>
      <c r="Q32" s="12">
        <f>E32*5.74%</f>
        <v>194418.4494</v>
      </c>
      <c r="R32" s="12">
        <f>E32*2.00%</f>
        <v>67741.62</v>
      </c>
      <c r="S32" s="12">
        <f>ROUND(SUM(H32:R32),0)</f>
        <v>6504130</v>
      </c>
      <c r="T32" s="12">
        <f>ROUND(S32*13%,0)</f>
        <v>845537</v>
      </c>
      <c r="U32" s="12">
        <v>0</v>
      </c>
      <c r="V32" s="12">
        <v>0</v>
      </c>
      <c r="W32" s="12">
        <v>0</v>
      </c>
      <c r="X32" s="12">
        <f>U32+V32+W32</f>
        <v>0</v>
      </c>
      <c r="Y32" s="12">
        <f>X32*5%</f>
        <v>0</v>
      </c>
      <c r="Z32" s="12">
        <f>ROUND(S32+T32+X32+Y32,0)</f>
        <v>7349667</v>
      </c>
    </row>
    <row r="33" spans="1:26">
      <c r="A33" s="8">
        <v>24</v>
      </c>
      <c r="B33" s="8" t="s">
        <v>89</v>
      </c>
      <c r="C33" s="8"/>
      <c r="D33" s="13" t="s">
        <v>90</v>
      </c>
      <c r="E33" s="13">
        <v>3387081.0</v>
      </c>
      <c r="F33" s="13">
        <v>18</v>
      </c>
      <c r="G33" s="13">
        <v>16</v>
      </c>
      <c r="H33" s="13">
        <v>3048372.9</v>
      </c>
      <c r="I33" s="13">
        <v>2643097.89</v>
      </c>
      <c r="J33" s="13">
        <v>108000</v>
      </c>
      <c r="K33" s="13">
        <v>180000</v>
      </c>
      <c r="L33" s="13">
        <v>406450</v>
      </c>
      <c r="M33" s="13">
        <v>0</v>
      </c>
      <c r="N33" s="13">
        <v>0</v>
      </c>
      <c r="O33" s="13">
        <v>0.0</v>
      </c>
      <c r="P33" s="13">
        <f>E33*4.00%</f>
        <v>135483.24</v>
      </c>
      <c r="Q33" s="13">
        <f>E33*5.74%</f>
        <v>194418.4494</v>
      </c>
      <c r="R33" s="13">
        <f>E33*2.00%</f>
        <v>67741.62</v>
      </c>
      <c r="S33" s="13">
        <f>ROUND(SUM(H33:R33),0)</f>
        <v>6783564</v>
      </c>
      <c r="T33" s="13">
        <f>ROUND(S33*13%,0)</f>
        <v>881863</v>
      </c>
      <c r="U33" s="13">
        <v>0</v>
      </c>
      <c r="V33" s="13">
        <v>0</v>
      </c>
      <c r="W33" s="13">
        <v>0</v>
      </c>
      <c r="X33" s="13">
        <f>U33+V33+W33</f>
        <v>0</v>
      </c>
      <c r="Y33" s="13">
        <f>X33*5%</f>
        <v>0</v>
      </c>
      <c r="Z33" s="13">
        <f>ROUND(S33+T33+X33+Y33,0)</f>
        <v>7665427</v>
      </c>
    </row>
    <row r="34" spans="1:26">
      <c r="A34">
        <v>25</v>
      </c>
      <c r="B34" t="s">
        <v>91</v>
      </c>
      <c r="C34"/>
      <c r="D34" s="12" t="s">
        <v>63</v>
      </c>
      <c r="E34" s="12">
        <v>3387081.0</v>
      </c>
      <c r="F34" s="12">
        <v>6</v>
      </c>
      <c r="G34" s="12">
        <v>6</v>
      </c>
      <c r="H34" s="12">
        <v>1016124.3</v>
      </c>
      <c r="I34" s="12">
        <v>881032.63</v>
      </c>
      <c r="J34" s="12">
        <v>36000</v>
      </c>
      <c r="K34" s="12">
        <v>60000</v>
      </c>
      <c r="L34" s="12">
        <v>152419</v>
      </c>
      <c r="M34" s="12">
        <v>0</v>
      </c>
      <c r="N34" s="12">
        <v>0</v>
      </c>
      <c r="O34" s="12">
        <v>0.0</v>
      </c>
      <c r="P34" s="12">
        <f>E34*4.00%</f>
        <v>135483.24</v>
      </c>
      <c r="Q34" s="12">
        <f>E34*5.74%</f>
        <v>194418.4494</v>
      </c>
      <c r="R34" s="12">
        <f>E34*2.00%</f>
        <v>67741.62</v>
      </c>
      <c r="S34" s="12">
        <f>ROUND(SUM(H34:R34),0)</f>
        <v>2543219</v>
      </c>
      <c r="T34" s="12">
        <f>ROUND(S34*13%,0)</f>
        <v>330618</v>
      </c>
      <c r="U34" s="12">
        <v>0</v>
      </c>
      <c r="V34" s="12">
        <v>0</v>
      </c>
      <c r="W34" s="12">
        <v>0</v>
      </c>
      <c r="X34" s="12">
        <f>U34+V34+W34</f>
        <v>0</v>
      </c>
      <c r="Y34" s="12">
        <f>X34*5%</f>
        <v>0</v>
      </c>
      <c r="Z34" s="12">
        <f>ROUND(S34+T34+X34+Y34,0)</f>
        <v>2873837</v>
      </c>
    </row>
    <row r="35" spans="1:26">
      <c r="A35" s="8">
        <v>26</v>
      </c>
      <c r="B35" s="8" t="s">
        <v>92</v>
      </c>
      <c r="C35" s="8"/>
      <c r="D35" s="13" t="s">
        <v>60</v>
      </c>
      <c r="E35" s="13">
        <v>3387081.0</v>
      </c>
      <c r="F35" s="13">
        <v>8</v>
      </c>
      <c r="G35" s="13">
        <v>8</v>
      </c>
      <c r="H35" s="13">
        <v>1354832.4</v>
      </c>
      <c r="I35" s="13">
        <v>1174710.17</v>
      </c>
      <c r="J35" s="13">
        <v>48000</v>
      </c>
      <c r="K35" s="13">
        <v>80000</v>
      </c>
      <c r="L35" s="13">
        <v>203225</v>
      </c>
      <c r="M35" s="13">
        <v>0</v>
      </c>
      <c r="N35" s="13">
        <v>0</v>
      </c>
      <c r="O35" s="13">
        <v>0.0</v>
      </c>
      <c r="P35" s="13">
        <f>E35*4.00%</f>
        <v>135483.24</v>
      </c>
      <c r="Q35" s="13">
        <f>E35*5.74%</f>
        <v>194418.4494</v>
      </c>
      <c r="R35" s="13">
        <f>E35*2.00%</f>
        <v>67741.62</v>
      </c>
      <c r="S35" s="13">
        <f>ROUND(SUM(H35:R35),0)</f>
        <v>3258411</v>
      </c>
      <c r="T35" s="13">
        <f>ROUND(S35*13%,0)</f>
        <v>423593</v>
      </c>
      <c r="U35" s="13">
        <v>0</v>
      </c>
      <c r="V35" s="13">
        <v>0</v>
      </c>
      <c r="W35" s="13">
        <v>0</v>
      </c>
      <c r="X35" s="13">
        <f>U35+V35+W35</f>
        <v>0</v>
      </c>
      <c r="Y35" s="13">
        <f>X35*5%</f>
        <v>0</v>
      </c>
      <c r="Z35" s="13">
        <f>ROUND(S35+T35+X35+Y35,0)</f>
        <v>3682004</v>
      </c>
    </row>
    <row r="36" spans="1:26">
      <c r="A36">
        <v>27</v>
      </c>
      <c r="B36" t="s">
        <v>93</v>
      </c>
      <c r="C36"/>
      <c r="D36" s="12" t="s">
        <v>72</v>
      </c>
      <c r="E36" s="12">
        <v>3387081.0</v>
      </c>
      <c r="F36" s="12">
        <v>25</v>
      </c>
      <c r="G36" s="12">
        <v>9</v>
      </c>
      <c r="H36" s="12">
        <v>4233851.25</v>
      </c>
      <c r="I36" s="12">
        <v>3670969.29</v>
      </c>
      <c r="J36" s="12">
        <v>150000</v>
      </c>
      <c r="K36" s="12">
        <v>250000</v>
      </c>
      <c r="L36" s="12">
        <v>228628</v>
      </c>
      <c r="M36" s="12">
        <v>0</v>
      </c>
      <c r="N36" s="12">
        <v>0</v>
      </c>
      <c r="O36" s="12">
        <v>0.0</v>
      </c>
      <c r="P36" s="12">
        <f>E36*4.00%</f>
        <v>135483.24</v>
      </c>
      <c r="Q36" s="12">
        <f>E36*5.74%</f>
        <v>194418.4494</v>
      </c>
      <c r="R36" s="12">
        <f>E36*2.00%</f>
        <v>67741.62</v>
      </c>
      <c r="S36" s="12">
        <f>ROUND(SUM(H36:R36),0)</f>
        <v>8931092</v>
      </c>
      <c r="T36" s="12">
        <f>ROUND(S36*13%,0)</f>
        <v>1161042</v>
      </c>
      <c r="U36" s="12">
        <v>0</v>
      </c>
      <c r="V36" s="12">
        <v>0</v>
      </c>
      <c r="W36" s="12">
        <v>0</v>
      </c>
      <c r="X36" s="12">
        <f>U36+V36+W36</f>
        <v>0</v>
      </c>
      <c r="Y36" s="12">
        <f>X36*5%</f>
        <v>0</v>
      </c>
      <c r="Z36" s="12">
        <f>ROUND(S36+T36+X36+Y36,0)</f>
        <v>10092134</v>
      </c>
    </row>
    <row r="37" spans="1:26">
      <c r="A37" s="8">
        <v>28</v>
      </c>
      <c r="B37" s="8" t="s">
        <v>94</v>
      </c>
      <c r="C37" s="8"/>
      <c r="D37" s="13" t="s">
        <v>72</v>
      </c>
      <c r="E37" s="13">
        <v>3387081.0</v>
      </c>
      <c r="F37" s="13">
        <v>20</v>
      </c>
      <c r="G37" s="13">
        <v>19</v>
      </c>
      <c r="H37" s="13">
        <v>3387081.0</v>
      </c>
      <c r="I37" s="13">
        <v>2936775.44</v>
      </c>
      <c r="J37" s="13">
        <v>120000</v>
      </c>
      <c r="K37" s="13">
        <v>200000</v>
      </c>
      <c r="L37" s="13">
        <v>482659</v>
      </c>
      <c r="M37" s="13">
        <v>0</v>
      </c>
      <c r="N37" s="13">
        <v>0</v>
      </c>
      <c r="O37" s="13">
        <v>0.0</v>
      </c>
      <c r="P37" s="13">
        <f>E37*4.00%</f>
        <v>135483.24</v>
      </c>
      <c r="Q37" s="13">
        <f>E37*5.74%</f>
        <v>194418.4494</v>
      </c>
      <c r="R37" s="13">
        <f>E37*2.00%</f>
        <v>67741.62</v>
      </c>
      <c r="S37" s="13">
        <f>ROUND(SUM(H37:R37),0)</f>
        <v>7524159</v>
      </c>
      <c r="T37" s="13">
        <f>ROUND(S37*13%,0)</f>
        <v>978141</v>
      </c>
      <c r="U37" s="13">
        <v>0</v>
      </c>
      <c r="V37" s="13">
        <v>0</v>
      </c>
      <c r="W37" s="13">
        <v>0</v>
      </c>
      <c r="X37" s="13">
        <f>U37+V37+W37</f>
        <v>0</v>
      </c>
      <c r="Y37" s="13">
        <f>X37*5%</f>
        <v>0</v>
      </c>
      <c r="Z37" s="13">
        <f>ROUND(S37+T37+X37+Y37,0)</f>
        <v>8502300</v>
      </c>
    </row>
    <row r="38" spans="1:26">
      <c r="A38">
        <v>29</v>
      </c>
      <c r="B38" t="s">
        <v>95</v>
      </c>
      <c r="C38"/>
      <c r="D38" s="12" t="s">
        <v>58</v>
      </c>
      <c r="E38" s="12">
        <v>3387081.0</v>
      </c>
      <c r="F38" s="12">
        <v>11</v>
      </c>
      <c r="G38" s="12">
        <v>3</v>
      </c>
      <c r="H38" s="12">
        <v>1862894.55</v>
      </c>
      <c r="I38" s="12">
        <v>1615226.49</v>
      </c>
      <c r="J38" s="12">
        <v>66000</v>
      </c>
      <c r="K38" s="12">
        <v>110000</v>
      </c>
      <c r="L38" s="12">
        <v>76209</v>
      </c>
      <c r="M38" s="12">
        <v>0</v>
      </c>
      <c r="N38" s="12">
        <v>0</v>
      </c>
      <c r="O38" s="12">
        <v>0.0</v>
      </c>
      <c r="P38" s="12">
        <f>E38*4.00%</f>
        <v>135483.24</v>
      </c>
      <c r="Q38" s="12">
        <f>E38*5.74%</f>
        <v>194418.4494</v>
      </c>
      <c r="R38" s="12">
        <f>E38*2.00%</f>
        <v>67741.62</v>
      </c>
      <c r="S38" s="12">
        <f>ROUND(SUM(H38:R38),0)</f>
        <v>4127973</v>
      </c>
      <c r="T38" s="12">
        <f>ROUND(S38*13%,0)</f>
        <v>536636</v>
      </c>
      <c r="U38" s="12">
        <v>0</v>
      </c>
      <c r="V38" s="12">
        <v>0</v>
      </c>
      <c r="W38" s="12">
        <v>0</v>
      </c>
      <c r="X38" s="12">
        <f>U38+V38+W38</f>
        <v>0</v>
      </c>
      <c r="Y38" s="12">
        <f>X38*5%</f>
        <v>0</v>
      </c>
      <c r="Z38" s="12">
        <f>ROUND(S38+T38+X38+Y38,0)</f>
        <v>4664609</v>
      </c>
    </row>
    <row r="39" spans="1:26">
      <c r="A39" s="8">
        <v>30</v>
      </c>
      <c r="B39" s="8" t="s">
        <v>96</v>
      </c>
      <c r="C39" s="8"/>
      <c r="D39" s="13" t="s">
        <v>97</v>
      </c>
      <c r="E39" s="13">
        <v>3387081.0</v>
      </c>
      <c r="F39" s="13">
        <v>23</v>
      </c>
      <c r="G39" s="13">
        <v>0</v>
      </c>
      <c r="H39" s="13">
        <v>3895143.15</v>
      </c>
      <c r="I39" s="13">
        <v>3377291.75</v>
      </c>
      <c r="J39" s="13">
        <v>138000</v>
      </c>
      <c r="K39" s="13">
        <v>230000</v>
      </c>
      <c r="L39" s="13">
        <v>0</v>
      </c>
      <c r="M39" s="13">
        <v>0</v>
      </c>
      <c r="N39" s="13">
        <v>0</v>
      </c>
      <c r="O39" s="13">
        <v>0.0</v>
      </c>
      <c r="P39" s="13">
        <f>E39*4.00%</f>
        <v>135483.24</v>
      </c>
      <c r="Q39" s="13">
        <f>E39*5.74%</f>
        <v>194418.4494</v>
      </c>
      <c r="R39" s="13">
        <f>E39*2.00%</f>
        <v>67741.62</v>
      </c>
      <c r="S39" s="13">
        <f>ROUND(SUM(H39:R39),0)</f>
        <v>8038078</v>
      </c>
      <c r="T39" s="13">
        <f>ROUND(S39*13%,0)</f>
        <v>1044950</v>
      </c>
      <c r="U39" s="13">
        <v>0</v>
      </c>
      <c r="V39" s="13">
        <v>0</v>
      </c>
      <c r="W39" s="13">
        <v>0</v>
      </c>
      <c r="X39" s="13">
        <f>U39+V39+W39</f>
        <v>0</v>
      </c>
      <c r="Y39" s="13">
        <f>X39*5%</f>
        <v>0</v>
      </c>
      <c r="Z39" s="13">
        <f>ROUND(S39+T39+X39+Y39,0)</f>
        <v>9083028</v>
      </c>
    </row>
    <row r="40" spans="1:26">
      <c r="A40">
        <v>31</v>
      </c>
      <c r="B40" t="s">
        <v>98</v>
      </c>
      <c r="C40"/>
      <c r="D40" s="12" t="s">
        <v>60</v>
      </c>
      <c r="E40" s="12">
        <v>3387081.0</v>
      </c>
      <c r="F40" s="12">
        <v>9</v>
      </c>
      <c r="G40" s="12">
        <v>0</v>
      </c>
      <c r="H40" s="12">
        <v>1524186.45</v>
      </c>
      <c r="I40" s="12">
        <v>1321548.95</v>
      </c>
      <c r="J40" s="12">
        <v>54000</v>
      </c>
      <c r="K40" s="12">
        <v>90000</v>
      </c>
      <c r="L40" s="12">
        <v>0</v>
      </c>
      <c r="M40" s="12">
        <v>0</v>
      </c>
      <c r="N40" s="12">
        <v>0</v>
      </c>
      <c r="O40" s="12">
        <v>0.0</v>
      </c>
      <c r="P40" s="12">
        <f>E40*4.00%</f>
        <v>135483.24</v>
      </c>
      <c r="Q40" s="12">
        <f>E40*5.74%</f>
        <v>194418.4494</v>
      </c>
      <c r="R40" s="12">
        <f>E40*2.00%</f>
        <v>67741.62</v>
      </c>
      <c r="S40" s="12">
        <f>ROUND(SUM(H40:R40),0)</f>
        <v>3387379</v>
      </c>
      <c r="T40" s="12">
        <f>ROUND(S40*13%,0)</f>
        <v>440359</v>
      </c>
      <c r="U40" s="12">
        <v>0</v>
      </c>
      <c r="V40" s="12">
        <v>0</v>
      </c>
      <c r="W40" s="12">
        <v>0</v>
      </c>
      <c r="X40" s="12">
        <f>U40+V40+W40</f>
        <v>0</v>
      </c>
      <c r="Y40" s="12">
        <f>X40*5%</f>
        <v>0</v>
      </c>
      <c r="Z40" s="12">
        <f>ROUND(S40+T40+X40+Y40,0)</f>
        <v>3827738</v>
      </c>
    </row>
    <row r="41" spans="1:26">
      <c r="A41" s="8">
        <v>32</v>
      </c>
      <c r="B41" s="8" t="s">
        <v>99</v>
      </c>
      <c r="C41" s="8"/>
      <c r="D41" s="13" t="s">
        <v>58</v>
      </c>
      <c r="E41" s="13">
        <v>3387081.0</v>
      </c>
      <c r="F41" s="13">
        <v>10</v>
      </c>
      <c r="G41" s="13">
        <v>0</v>
      </c>
      <c r="H41" s="13">
        <v>1693540.5</v>
      </c>
      <c r="I41" s="13">
        <v>1468387.71</v>
      </c>
      <c r="J41" s="13">
        <v>60000</v>
      </c>
      <c r="K41" s="13">
        <v>100000</v>
      </c>
      <c r="L41" s="13">
        <v>0</v>
      </c>
      <c r="M41" s="13">
        <v>0</v>
      </c>
      <c r="N41" s="13">
        <v>0</v>
      </c>
      <c r="O41" s="13">
        <v>0.0</v>
      </c>
      <c r="P41" s="13">
        <f>E41*4.00%</f>
        <v>135483.24</v>
      </c>
      <c r="Q41" s="13">
        <f>E41*5.74%</f>
        <v>194418.4494</v>
      </c>
      <c r="R41" s="13">
        <f>E41*2.00%</f>
        <v>67741.62</v>
      </c>
      <c r="S41" s="13">
        <f>ROUND(SUM(H41:R41),0)</f>
        <v>3719572</v>
      </c>
      <c r="T41" s="13">
        <f>ROUND(S41*13%,0)</f>
        <v>483544</v>
      </c>
      <c r="U41" s="13">
        <v>0</v>
      </c>
      <c r="V41" s="13">
        <v>0</v>
      </c>
      <c r="W41" s="13">
        <v>0</v>
      </c>
      <c r="X41" s="13">
        <f>U41+V41+W41</f>
        <v>0</v>
      </c>
      <c r="Y41" s="13">
        <f>X41*5%</f>
        <v>0</v>
      </c>
      <c r="Z41" s="13">
        <f>ROUND(S41+T41+X41+Y41,0)</f>
        <v>4203116</v>
      </c>
    </row>
    <row r="42" spans="1:26">
      <c r="A42">
        <v>33</v>
      </c>
      <c r="B42" t="s">
        <v>100</v>
      </c>
      <c r="C42"/>
      <c r="D42" s="12" t="s">
        <v>70</v>
      </c>
      <c r="E42" s="12">
        <v>3387081.0</v>
      </c>
      <c r="F42" s="12">
        <v>19</v>
      </c>
      <c r="G42" s="12">
        <v>0</v>
      </c>
      <c r="H42" s="12">
        <v>3217726.95</v>
      </c>
      <c r="I42" s="12">
        <v>2789936.66</v>
      </c>
      <c r="J42" s="12">
        <v>114000</v>
      </c>
      <c r="K42" s="12">
        <v>190000</v>
      </c>
      <c r="L42" s="12">
        <v>0</v>
      </c>
      <c r="M42" s="12">
        <v>0</v>
      </c>
      <c r="N42" s="12">
        <v>0</v>
      </c>
      <c r="O42" s="12">
        <v>0.0</v>
      </c>
      <c r="P42" s="12">
        <f>E42*4.00%</f>
        <v>135483.24</v>
      </c>
      <c r="Q42" s="12">
        <f>E42*5.74%</f>
        <v>194418.4494</v>
      </c>
      <c r="R42" s="12">
        <f>E42*2.00%</f>
        <v>67741.62</v>
      </c>
      <c r="S42" s="12">
        <f>ROUND(SUM(H42:R42),0)</f>
        <v>6709307</v>
      </c>
      <c r="T42" s="12">
        <f>ROUND(S42*13%,0)</f>
        <v>872210</v>
      </c>
      <c r="U42" s="12">
        <v>0</v>
      </c>
      <c r="V42" s="12">
        <v>0</v>
      </c>
      <c r="W42" s="12">
        <v>0</v>
      </c>
      <c r="X42" s="12">
        <f>U42+V42+W42</f>
        <v>0</v>
      </c>
      <c r="Y42" s="12">
        <f>X42*5%</f>
        <v>0</v>
      </c>
      <c r="Z42" s="12">
        <f>ROUND(S42+T42+X42+Y42,0)</f>
        <v>7581517</v>
      </c>
    </row>
    <row r="43" spans="1:26">
      <c r="A43" s="8">
        <v>34</v>
      </c>
      <c r="B43" s="8" t="s">
        <v>101</v>
      </c>
      <c r="C43" s="8"/>
      <c r="D43" s="13" t="s">
        <v>60</v>
      </c>
      <c r="E43" s="13">
        <v>3387081.0</v>
      </c>
      <c r="F43" s="13">
        <v>18</v>
      </c>
      <c r="G43" s="13">
        <v>0</v>
      </c>
      <c r="H43" s="13">
        <v>3048372.9</v>
      </c>
      <c r="I43" s="13">
        <v>2643097.89</v>
      </c>
      <c r="J43" s="13">
        <v>108000</v>
      </c>
      <c r="K43" s="13">
        <v>180000</v>
      </c>
      <c r="L43" s="13">
        <v>0</v>
      </c>
      <c r="M43" s="13">
        <v>0</v>
      </c>
      <c r="N43" s="13">
        <v>0</v>
      </c>
      <c r="O43" s="13">
        <v>0.0</v>
      </c>
      <c r="P43" s="13">
        <f>E43*4.00%</f>
        <v>135483.24</v>
      </c>
      <c r="Q43" s="13">
        <f>E43*5.74%</f>
        <v>194418.4494</v>
      </c>
      <c r="R43" s="13">
        <f>E43*2.00%</f>
        <v>67741.62</v>
      </c>
      <c r="S43" s="13">
        <f>ROUND(SUM(H43:R43),0)</f>
        <v>6377114</v>
      </c>
      <c r="T43" s="13">
        <f>ROUND(S43*13%,0)</f>
        <v>829025</v>
      </c>
      <c r="U43" s="13">
        <v>0</v>
      </c>
      <c r="V43" s="13">
        <v>0</v>
      </c>
      <c r="W43" s="13">
        <v>0</v>
      </c>
      <c r="X43" s="13">
        <f>U43+V43+W43</f>
        <v>0</v>
      </c>
      <c r="Y43" s="13">
        <f>X43*5%</f>
        <v>0</v>
      </c>
      <c r="Z43" s="13">
        <f>ROUND(S43+T43+X43+Y43,0)</f>
        <v>7206139</v>
      </c>
    </row>
    <row r="44" spans="1:26">
      <c r="A44">
        <v>35</v>
      </c>
      <c r="B44" t="s">
        <v>102</v>
      </c>
      <c r="C44"/>
      <c r="D44" s="12" t="s">
        <v>65</v>
      </c>
      <c r="E44" s="12">
        <v>3387081.0</v>
      </c>
      <c r="F44" s="12">
        <v>7</v>
      </c>
      <c r="G44" s="12">
        <v>0</v>
      </c>
      <c r="H44" s="12">
        <v>1185478.35</v>
      </c>
      <c r="I44" s="12">
        <v>1027871.4</v>
      </c>
      <c r="J44" s="12">
        <v>42000</v>
      </c>
      <c r="K44" s="12">
        <v>70000</v>
      </c>
      <c r="L44" s="12">
        <v>0</v>
      </c>
      <c r="M44" s="12">
        <v>0</v>
      </c>
      <c r="N44" s="12">
        <v>0</v>
      </c>
      <c r="O44" s="12">
        <v>0.0</v>
      </c>
      <c r="P44" s="12">
        <f>E44*4.00%</f>
        <v>135483.24</v>
      </c>
      <c r="Q44" s="12">
        <f>E44*5.74%</f>
        <v>194418.4494</v>
      </c>
      <c r="R44" s="12">
        <f>E44*2.00%</f>
        <v>67741.62</v>
      </c>
      <c r="S44" s="12">
        <f>ROUND(SUM(H44:R44),0)</f>
        <v>2722993</v>
      </c>
      <c r="T44" s="12">
        <f>ROUND(S44*13%,0)</f>
        <v>353989</v>
      </c>
      <c r="U44" s="12">
        <v>0</v>
      </c>
      <c r="V44" s="12">
        <v>0</v>
      </c>
      <c r="W44" s="12">
        <v>0</v>
      </c>
      <c r="X44" s="12">
        <f>U44+V44+W44</f>
        <v>0</v>
      </c>
      <c r="Y44" s="12">
        <f>X44*5%</f>
        <v>0</v>
      </c>
      <c r="Z44" s="12">
        <f>ROUND(S44+T44+X44+Y44,0)</f>
        <v>3076982</v>
      </c>
    </row>
    <row r="45" spans="1:26">
      <c r="A45" s="8">
        <v>36</v>
      </c>
      <c r="B45" s="8" t="s">
        <v>103</v>
      </c>
      <c r="C45" s="8"/>
      <c r="D45" s="13" t="s">
        <v>72</v>
      </c>
      <c r="E45" s="13">
        <v>3387081.0</v>
      </c>
      <c r="F45" s="13">
        <v>17</v>
      </c>
      <c r="G45" s="13">
        <v>0</v>
      </c>
      <c r="H45" s="13">
        <v>2879018.85</v>
      </c>
      <c r="I45" s="13">
        <v>2496259.11</v>
      </c>
      <c r="J45" s="13">
        <v>102000</v>
      </c>
      <c r="K45" s="13">
        <v>170000</v>
      </c>
      <c r="L45" s="13">
        <v>0</v>
      </c>
      <c r="M45" s="13">
        <v>0</v>
      </c>
      <c r="N45" s="13">
        <v>0</v>
      </c>
      <c r="O45" s="13">
        <v>0.0</v>
      </c>
      <c r="P45" s="13">
        <f>E45*4.00%</f>
        <v>135483.24</v>
      </c>
      <c r="Q45" s="13">
        <f>E45*5.74%</f>
        <v>194418.4494</v>
      </c>
      <c r="R45" s="13">
        <f>E45*2.00%</f>
        <v>67741.62</v>
      </c>
      <c r="S45" s="13">
        <f>ROUND(SUM(H45:R45),0)</f>
        <v>6044921</v>
      </c>
      <c r="T45" s="13">
        <f>ROUND(S45*13%,0)</f>
        <v>785840</v>
      </c>
      <c r="U45" s="13">
        <v>0</v>
      </c>
      <c r="V45" s="13">
        <v>0</v>
      </c>
      <c r="W45" s="13">
        <v>0</v>
      </c>
      <c r="X45" s="13">
        <f>U45+V45+W45</f>
        <v>0</v>
      </c>
      <c r="Y45" s="13">
        <f>X45*5%</f>
        <v>0</v>
      </c>
      <c r="Z45" s="13">
        <f>ROUND(S45+T45+X45+Y45,0)</f>
        <v>6830761</v>
      </c>
    </row>
    <row r="46" spans="1:26">
      <c r="A46">
        <v>37</v>
      </c>
      <c r="B46" t="s">
        <v>104</v>
      </c>
      <c r="C46"/>
      <c r="D46" s="12" t="s">
        <v>60</v>
      </c>
      <c r="E46" s="12">
        <v>3387081.0</v>
      </c>
      <c r="F46" s="12">
        <v>14</v>
      </c>
      <c r="G46" s="12">
        <v>8</v>
      </c>
      <c r="H46" s="12">
        <v>2370956.7</v>
      </c>
      <c r="I46" s="12">
        <v>2055742.8</v>
      </c>
      <c r="J46" s="12">
        <v>84000</v>
      </c>
      <c r="K46" s="12">
        <v>140000</v>
      </c>
      <c r="L46" s="12">
        <v>203225</v>
      </c>
      <c r="M46" s="12">
        <v>0</v>
      </c>
      <c r="N46" s="12">
        <v>0</v>
      </c>
      <c r="O46" s="12">
        <v>0.0</v>
      </c>
      <c r="P46" s="12">
        <f>E46*4.00%</f>
        <v>135483.24</v>
      </c>
      <c r="Q46" s="12">
        <f>E46*5.74%</f>
        <v>194418.4494</v>
      </c>
      <c r="R46" s="12">
        <f>E46*2.00%</f>
        <v>67741.62</v>
      </c>
      <c r="S46" s="12">
        <f>ROUND(SUM(H46:R46),0)</f>
        <v>5251568</v>
      </c>
      <c r="T46" s="12">
        <f>ROUND(S46*13%,0)</f>
        <v>682704</v>
      </c>
      <c r="U46" s="12">
        <v>0</v>
      </c>
      <c r="V46" s="12">
        <v>0</v>
      </c>
      <c r="W46" s="12">
        <v>0</v>
      </c>
      <c r="X46" s="12">
        <f>U46+V46+W46</f>
        <v>0</v>
      </c>
      <c r="Y46" s="12">
        <f>X46*5%</f>
        <v>0</v>
      </c>
      <c r="Z46" s="12">
        <f>ROUND(S46+T46+X46+Y46,0)</f>
        <v>5934272</v>
      </c>
    </row>
    <row r="47" spans="1:26">
      <c r="A47" s="8">
        <v>38</v>
      </c>
      <c r="B47" s="8" t="s">
        <v>105</v>
      </c>
      <c r="C47" s="8"/>
      <c r="D47" s="13" t="s">
        <v>65</v>
      </c>
      <c r="E47" s="13">
        <v>3387081.0</v>
      </c>
      <c r="F47" s="13">
        <v>18</v>
      </c>
      <c r="G47" s="13">
        <v>18</v>
      </c>
      <c r="H47" s="13">
        <v>3048372.9</v>
      </c>
      <c r="I47" s="13">
        <v>2643097.89</v>
      </c>
      <c r="J47" s="13">
        <v>108000</v>
      </c>
      <c r="K47" s="13">
        <v>180000</v>
      </c>
      <c r="L47" s="13">
        <v>457256</v>
      </c>
      <c r="M47" s="13">
        <v>0</v>
      </c>
      <c r="N47" s="13">
        <v>0</v>
      </c>
      <c r="O47" s="13">
        <v>0.0</v>
      </c>
      <c r="P47" s="13">
        <f>E47*4.00%</f>
        <v>135483.24</v>
      </c>
      <c r="Q47" s="13">
        <f>E47*5.74%</f>
        <v>194418.4494</v>
      </c>
      <c r="R47" s="13">
        <f>E47*2.00%</f>
        <v>67741.62</v>
      </c>
      <c r="S47" s="13">
        <f>ROUND(SUM(H47:R47),0)</f>
        <v>6834370</v>
      </c>
      <c r="T47" s="13">
        <f>ROUND(S47*13%,0)</f>
        <v>888468</v>
      </c>
      <c r="U47" s="13">
        <v>0</v>
      </c>
      <c r="V47" s="13">
        <v>0</v>
      </c>
      <c r="W47" s="13">
        <v>0</v>
      </c>
      <c r="X47" s="13">
        <f>U47+V47+W47</f>
        <v>0</v>
      </c>
      <c r="Y47" s="13">
        <f>X47*5%</f>
        <v>0</v>
      </c>
      <c r="Z47" s="13">
        <f>ROUND(S47+T47+X47+Y47,0)</f>
        <v>7722838</v>
      </c>
    </row>
    <row r="48" spans="1:26">
      <c r="A48">
        <v>39</v>
      </c>
      <c r="B48" t="s">
        <v>106</v>
      </c>
      <c r="C48"/>
      <c r="D48" s="12" t="s">
        <v>63</v>
      </c>
      <c r="E48" s="12">
        <v>3387081.0</v>
      </c>
      <c r="F48" s="12">
        <v>13</v>
      </c>
      <c r="G48" s="12">
        <v>0</v>
      </c>
      <c r="H48" s="12">
        <v>2201602.65</v>
      </c>
      <c r="I48" s="12">
        <v>1908904.04</v>
      </c>
      <c r="J48" s="12">
        <v>78000</v>
      </c>
      <c r="K48" s="12">
        <v>130000</v>
      </c>
      <c r="L48" s="12">
        <v>0</v>
      </c>
      <c r="M48" s="12">
        <v>0</v>
      </c>
      <c r="N48" s="12">
        <v>0</v>
      </c>
      <c r="O48" s="12">
        <v>0.0</v>
      </c>
      <c r="P48" s="12">
        <f>E48*4.00%</f>
        <v>135483.24</v>
      </c>
      <c r="Q48" s="12">
        <f>E48*5.74%</f>
        <v>194418.4494</v>
      </c>
      <c r="R48" s="12">
        <f>E48*2.00%</f>
        <v>67741.62</v>
      </c>
      <c r="S48" s="12">
        <f>ROUND(SUM(H48:R48),0)</f>
        <v>4716150</v>
      </c>
      <c r="T48" s="12">
        <f>ROUND(S48*13%,0)</f>
        <v>613100</v>
      </c>
      <c r="U48" s="12">
        <v>0</v>
      </c>
      <c r="V48" s="12">
        <v>0</v>
      </c>
      <c r="W48" s="12">
        <v>0</v>
      </c>
      <c r="X48" s="12">
        <f>U48+V48+W48</f>
        <v>0</v>
      </c>
      <c r="Y48" s="12">
        <f>X48*5%</f>
        <v>0</v>
      </c>
      <c r="Z48" s="12">
        <f>ROUND(S48+T48+X48+Y48,0)</f>
        <v>5329250</v>
      </c>
    </row>
    <row r="49" spans="1:26">
      <c r="A49" s="8">
        <v>40</v>
      </c>
      <c r="B49" s="8" t="s">
        <v>107</v>
      </c>
      <c r="C49" s="8"/>
      <c r="D49" s="13" t="s">
        <v>65</v>
      </c>
      <c r="E49" s="13">
        <v>3387081.0</v>
      </c>
      <c r="F49" s="13">
        <v>11</v>
      </c>
      <c r="G49" s="13">
        <v>0</v>
      </c>
      <c r="H49" s="13">
        <v>1862894.55</v>
      </c>
      <c r="I49" s="13">
        <v>1615226.49</v>
      </c>
      <c r="J49" s="13">
        <v>66000</v>
      </c>
      <c r="K49" s="13">
        <v>110000</v>
      </c>
      <c r="L49" s="13">
        <v>0</v>
      </c>
      <c r="M49" s="13">
        <v>0</v>
      </c>
      <c r="N49" s="13">
        <v>0</v>
      </c>
      <c r="O49" s="13">
        <v>0.0</v>
      </c>
      <c r="P49" s="13">
        <f>E49*4.00%</f>
        <v>135483.24</v>
      </c>
      <c r="Q49" s="13">
        <f>E49*5.74%</f>
        <v>194418.4494</v>
      </c>
      <c r="R49" s="13">
        <f>E49*2.00%</f>
        <v>67741.62</v>
      </c>
      <c r="S49" s="13">
        <f>ROUND(SUM(H49:R49),0)</f>
        <v>4051764</v>
      </c>
      <c r="T49" s="13">
        <f>ROUND(S49*13%,0)</f>
        <v>526729</v>
      </c>
      <c r="U49" s="13">
        <v>0</v>
      </c>
      <c r="V49" s="13">
        <v>0</v>
      </c>
      <c r="W49" s="13">
        <v>0</v>
      </c>
      <c r="X49" s="13">
        <f>U49+V49+W49</f>
        <v>0</v>
      </c>
      <c r="Y49" s="13">
        <f>X49*5%</f>
        <v>0</v>
      </c>
      <c r="Z49" s="13">
        <f>ROUND(S49+T49+X49+Y49,0)</f>
        <v>4578493</v>
      </c>
    </row>
    <row r="50" spans="1:26">
      <c r="A50">
        <v>41</v>
      </c>
      <c r="B50" t="s">
        <v>108</v>
      </c>
      <c r="C50"/>
      <c r="D50" s="12" t="s">
        <v>77</v>
      </c>
      <c r="E50" s="12">
        <v>3387081.0</v>
      </c>
      <c r="F50" s="12">
        <v>18</v>
      </c>
      <c r="G50" s="12">
        <v>0</v>
      </c>
      <c r="H50" s="12">
        <v>3048372.9</v>
      </c>
      <c r="I50" s="12">
        <v>2643097.89</v>
      </c>
      <c r="J50" s="12">
        <v>108000</v>
      </c>
      <c r="K50" s="12">
        <v>180000</v>
      </c>
      <c r="L50" s="12">
        <v>0</v>
      </c>
      <c r="M50" s="12">
        <v>0</v>
      </c>
      <c r="N50" s="12">
        <v>0</v>
      </c>
      <c r="O50" s="12">
        <v>0.0</v>
      </c>
      <c r="P50" s="12">
        <f>E50*4.00%</f>
        <v>135483.24</v>
      </c>
      <c r="Q50" s="12">
        <f>E50*5.74%</f>
        <v>194418.4494</v>
      </c>
      <c r="R50" s="12">
        <f>E50*2.00%</f>
        <v>67741.62</v>
      </c>
      <c r="S50" s="12">
        <f>ROUND(SUM(H50:R50),0)</f>
        <v>6377114</v>
      </c>
      <c r="T50" s="12">
        <f>ROUND(S50*13%,0)</f>
        <v>829025</v>
      </c>
      <c r="U50" s="12">
        <v>0</v>
      </c>
      <c r="V50" s="12">
        <v>0</v>
      </c>
      <c r="W50" s="12">
        <v>0</v>
      </c>
      <c r="X50" s="12">
        <f>U50+V50+W50</f>
        <v>0</v>
      </c>
      <c r="Y50" s="12">
        <f>X50*5%</f>
        <v>0</v>
      </c>
      <c r="Z50" s="12">
        <f>ROUND(S50+T50+X50+Y50,0)</f>
        <v>7206139</v>
      </c>
    </row>
    <row r="51" spans="1:26">
      <c r="A51" s="8">
        <v>42</v>
      </c>
      <c r="B51" s="8" t="s">
        <v>109</v>
      </c>
      <c r="C51" s="8"/>
      <c r="D51" s="13" t="s">
        <v>110</v>
      </c>
      <c r="E51" s="13">
        <v>3387081.0</v>
      </c>
      <c r="F51" s="13">
        <v>11</v>
      </c>
      <c r="G51" s="13">
        <v>0</v>
      </c>
      <c r="H51" s="13">
        <v>1862894.55</v>
      </c>
      <c r="I51" s="13">
        <v>1615226.49</v>
      </c>
      <c r="J51" s="13">
        <v>66000</v>
      </c>
      <c r="K51" s="13">
        <v>110000</v>
      </c>
      <c r="L51" s="13">
        <v>0</v>
      </c>
      <c r="M51" s="13">
        <v>0</v>
      </c>
      <c r="N51" s="13">
        <v>0</v>
      </c>
      <c r="O51" s="13">
        <v>0.0</v>
      </c>
      <c r="P51" s="13">
        <f>E51*4.00%</f>
        <v>135483.24</v>
      </c>
      <c r="Q51" s="13">
        <f>E51*5.74%</f>
        <v>194418.4494</v>
      </c>
      <c r="R51" s="13">
        <f>E51*2.00%</f>
        <v>67741.62</v>
      </c>
      <c r="S51" s="13">
        <f>ROUND(SUM(H51:R51),0)</f>
        <v>4051764</v>
      </c>
      <c r="T51" s="13">
        <f>ROUND(S51*13%,0)</f>
        <v>526729</v>
      </c>
      <c r="U51" s="13">
        <v>0</v>
      </c>
      <c r="V51" s="13">
        <v>0</v>
      </c>
      <c r="W51" s="13">
        <v>0</v>
      </c>
      <c r="X51" s="13">
        <f>U51+V51+W51</f>
        <v>0</v>
      </c>
      <c r="Y51" s="13">
        <f>X51*5%</f>
        <v>0</v>
      </c>
      <c r="Z51" s="13">
        <f>ROUND(S51+T51+X51+Y51,0)</f>
        <v>4578493</v>
      </c>
    </row>
    <row r="52" spans="1:26">
      <c r="A52">
        <v>43</v>
      </c>
      <c r="B52" t="s">
        <v>111</v>
      </c>
      <c r="C52"/>
      <c r="D52" s="12" t="s">
        <v>72</v>
      </c>
      <c r="E52" s="12">
        <v>3387081.0</v>
      </c>
      <c r="F52" s="12">
        <v>15</v>
      </c>
      <c r="G52" s="12">
        <v>0</v>
      </c>
      <c r="H52" s="12">
        <v>2540310.75</v>
      </c>
      <c r="I52" s="12">
        <v>2202581.58</v>
      </c>
      <c r="J52" s="12">
        <v>90000</v>
      </c>
      <c r="K52" s="12">
        <v>150000</v>
      </c>
      <c r="L52" s="12">
        <v>0</v>
      </c>
      <c r="M52" s="12">
        <v>0</v>
      </c>
      <c r="N52" s="12">
        <v>0</v>
      </c>
      <c r="O52" s="12">
        <v>0.0</v>
      </c>
      <c r="P52" s="12">
        <f>E52*4.00%</f>
        <v>135483.24</v>
      </c>
      <c r="Q52" s="12">
        <f>E52*5.74%</f>
        <v>194418.4494</v>
      </c>
      <c r="R52" s="12">
        <f>E52*2.00%</f>
        <v>67741.62</v>
      </c>
      <c r="S52" s="12">
        <f>ROUND(SUM(H52:R52),0)</f>
        <v>5380536</v>
      </c>
      <c r="T52" s="12">
        <f>ROUND(S52*13%,0)</f>
        <v>699470</v>
      </c>
      <c r="U52" s="12">
        <v>0</v>
      </c>
      <c r="V52" s="12">
        <v>0</v>
      </c>
      <c r="W52" s="12">
        <v>0</v>
      </c>
      <c r="X52" s="12">
        <f>U52+V52+W52</f>
        <v>0</v>
      </c>
      <c r="Y52" s="12">
        <f>X52*5%</f>
        <v>0</v>
      </c>
      <c r="Z52" s="12">
        <f>ROUND(S52+T52+X52+Y52,0)</f>
        <v>6080006</v>
      </c>
    </row>
    <row r="53" spans="1:26">
      <c r="A53" s="8">
        <v>44</v>
      </c>
      <c r="B53" s="8" t="s">
        <v>112</v>
      </c>
      <c r="C53" s="8"/>
      <c r="D53" s="13" t="s">
        <v>60</v>
      </c>
      <c r="E53" s="13">
        <v>3387081.0</v>
      </c>
      <c r="F53" s="13">
        <v>1</v>
      </c>
      <c r="G53" s="13">
        <v>0</v>
      </c>
      <c r="H53" s="13">
        <v>169354.05</v>
      </c>
      <c r="I53" s="13">
        <v>146838.77</v>
      </c>
      <c r="J53" s="13">
        <v>6000</v>
      </c>
      <c r="K53" s="13">
        <v>10000</v>
      </c>
      <c r="L53" s="13">
        <v>0</v>
      </c>
      <c r="M53" s="13">
        <v>0</v>
      </c>
      <c r="N53" s="13">
        <v>0</v>
      </c>
      <c r="O53" s="13">
        <v>0.0</v>
      </c>
      <c r="P53" s="13">
        <f>E53*4.00%</f>
        <v>135483.24</v>
      </c>
      <c r="Q53" s="13">
        <f>E53*5.74%</f>
        <v>194418.4494</v>
      </c>
      <c r="R53" s="13">
        <f>E53*2.00%</f>
        <v>67741.62</v>
      </c>
      <c r="S53" s="13">
        <f>ROUND(SUM(H53:R53),0)</f>
        <v>729836</v>
      </c>
      <c r="T53" s="13">
        <f>ROUND(S53*13%,0)</f>
        <v>94879</v>
      </c>
      <c r="U53" s="13">
        <v>0</v>
      </c>
      <c r="V53" s="13">
        <v>0</v>
      </c>
      <c r="W53" s="13">
        <v>0</v>
      </c>
      <c r="X53" s="13">
        <f>U53+V53+W53</f>
        <v>0</v>
      </c>
      <c r="Y53" s="13">
        <f>X53*5%</f>
        <v>0</v>
      </c>
      <c r="Z53" s="13">
        <f>ROUND(S53+T53+X53+Y53,0)</f>
        <v>824715</v>
      </c>
    </row>
    <row r="54" spans="1:26">
      <c r="A54">
        <v>45</v>
      </c>
      <c r="B54" t="s">
        <v>113</v>
      </c>
      <c r="C54"/>
      <c r="D54" s="12" t="s">
        <v>114</v>
      </c>
      <c r="E54" s="12">
        <v>3387081.0</v>
      </c>
      <c r="F54" s="12">
        <v>17</v>
      </c>
      <c r="G54" s="12">
        <v>0</v>
      </c>
      <c r="H54" s="12">
        <v>2879018.85</v>
      </c>
      <c r="I54" s="12">
        <v>2496259.11</v>
      </c>
      <c r="J54" s="12">
        <v>102000</v>
      </c>
      <c r="K54" s="12">
        <v>170000</v>
      </c>
      <c r="L54" s="12">
        <v>0</v>
      </c>
      <c r="M54" s="12">
        <v>0</v>
      </c>
      <c r="N54" s="12">
        <v>0</v>
      </c>
      <c r="O54" s="12">
        <v>0.0</v>
      </c>
      <c r="P54" s="12">
        <f>E54*4.00%</f>
        <v>135483.24</v>
      </c>
      <c r="Q54" s="12">
        <f>E54*5.74%</f>
        <v>194418.4494</v>
      </c>
      <c r="R54" s="12">
        <f>E54*2.00%</f>
        <v>67741.62</v>
      </c>
      <c r="S54" s="12">
        <f>ROUND(SUM(H54:R54),0)</f>
        <v>6044921</v>
      </c>
      <c r="T54" s="12">
        <f>ROUND(S54*13%,0)</f>
        <v>785840</v>
      </c>
      <c r="U54" s="12">
        <v>0</v>
      </c>
      <c r="V54" s="12">
        <v>0</v>
      </c>
      <c r="W54" s="12">
        <v>0</v>
      </c>
      <c r="X54" s="12">
        <f>U54+V54+W54</f>
        <v>0</v>
      </c>
      <c r="Y54" s="12">
        <f>X54*5%</f>
        <v>0</v>
      </c>
      <c r="Z54" s="12">
        <f>ROUND(S54+T54+X54+Y54,0)</f>
        <v>6830761</v>
      </c>
    </row>
    <row r="55" spans="1:26">
      <c r="A55" s="8">
        <v>46</v>
      </c>
      <c r="B55" s="8" t="s">
        <v>115</v>
      </c>
      <c r="C55" s="8"/>
      <c r="D55" s="13" t="s">
        <v>63</v>
      </c>
      <c r="E55" s="13">
        <v>3387081.0</v>
      </c>
      <c r="F55" s="13">
        <v>11</v>
      </c>
      <c r="G55" s="13">
        <v>0</v>
      </c>
      <c r="H55" s="13">
        <v>1862894.55</v>
      </c>
      <c r="I55" s="13">
        <v>1615226.49</v>
      </c>
      <c r="J55" s="13">
        <v>66000</v>
      </c>
      <c r="K55" s="13">
        <v>110000</v>
      </c>
      <c r="L55" s="13">
        <v>0</v>
      </c>
      <c r="M55" s="13">
        <v>0</v>
      </c>
      <c r="N55" s="13">
        <v>0</v>
      </c>
      <c r="O55" s="13">
        <v>0.0</v>
      </c>
      <c r="P55" s="13">
        <f>E55*4.00%</f>
        <v>135483.24</v>
      </c>
      <c r="Q55" s="13">
        <f>E55*5.74%</f>
        <v>194418.4494</v>
      </c>
      <c r="R55" s="13">
        <f>E55*2.00%</f>
        <v>67741.62</v>
      </c>
      <c r="S55" s="13">
        <f>ROUND(SUM(H55:R55),0)</f>
        <v>4051764</v>
      </c>
      <c r="T55" s="13">
        <f>ROUND(S55*13%,0)</f>
        <v>526729</v>
      </c>
      <c r="U55" s="13">
        <v>0</v>
      </c>
      <c r="V55" s="13">
        <v>0</v>
      </c>
      <c r="W55" s="13">
        <v>0</v>
      </c>
      <c r="X55" s="13">
        <f>U55+V55+W55</f>
        <v>0</v>
      </c>
      <c r="Y55" s="13">
        <f>X55*5%</f>
        <v>0</v>
      </c>
      <c r="Z55" s="13">
        <f>ROUND(S55+T55+X55+Y55,0)</f>
        <v>4578493</v>
      </c>
    </row>
    <row r="56" spans="1:26">
      <c r="A56">
        <v>47</v>
      </c>
      <c r="B56" t="s">
        <v>116</v>
      </c>
      <c r="C56"/>
      <c r="D56" s="12" t="s">
        <v>117</v>
      </c>
      <c r="E56" s="12">
        <v>3387081.0</v>
      </c>
      <c r="F56" s="12">
        <v>14</v>
      </c>
      <c r="G56" s="12">
        <v>0</v>
      </c>
      <c r="H56" s="12">
        <v>2370956.7</v>
      </c>
      <c r="I56" s="12">
        <v>2055742.8</v>
      </c>
      <c r="J56" s="12">
        <v>84000</v>
      </c>
      <c r="K56" s="12">
        <v>140000</v>
      </c>
      <c r="L56" s="12">
        <v>0</v>
      </c>
      <c r="M56" s="12">
        <v>0</v>
      </c>
      <c r="N56" s="12">
        <v>0</v>
      </c>
      <c r="O56" s="12">
        <v>0.0</v>
      </c>
      <c r="P56" s="12">
        <f>E56*4.00%</f>
        <v>135483.24</v>
      </c>
      <c r="Q56" s="12">
        <f>E56*5.74%</f>
        <v>194418.4494</v>
      </c>
      <c r="R56" s="12">
        <f>E56*2.00%</f>
        <v>67741.62</v>
      </c>
      <c r="S56" s="12">
        <f>ROUND(SUM(H56:R56),0)</f>
        <v>5048343</v>
      </c>
      <c r="T56" s="12">
        <f>ROUND(S56*13%,0)</f>
        <v>656285</v>
      </c>
      <c r="U56" s="12">
        <v>0</v>
      </c>
      <c r="V56" s="12">
        <v>0</v>
      </c>
      <c r="W56" s="12">
        <v>0</v>
      </c>
      <c r="X56" s="12">
        <f>U56+V56+W56</f>
        <v>0</v>
      </c>
      <c r="Y56" s="12">
        <f>X56*5%</f>
        <v>0</v>
      </c>
      <c r="Z56" s="12">
        <f>ROUND(S56+T56+X56+Y56,0)</f>
        <v>5704628</v>
      </c>
    </row>
    <row r="57" spans="1:26">
      <c r="A57" s="8">
        <v>48</v>
      </c>
      <c r="B57" s="8" t="s">
        <v>116</v>
      </c>
      <c r="C57" s="8"/>
      <c r="D57" s="13" t="s">
        <v>117</v>
      </c>
      <c r="E57" s="13">
        <v>3387081.0</v>
      </c>
      <c r="F57" s="13">
        <v>14</v>
      </c>
      <c r="G57" s="13">
        <v>0</v>
      </c>
      <c r="H57" s="13">
        <v>2370956.7</v>
      </c>
      <c r="I57" s="13">
        <v>2055742.8</v>
      </c>
      <c r="J57" s="13">
        <v>84000</v>
      </c>
      <c r="K57" s="13">
        <v>140000</v>
      </c>
      <c r="L57" s="13">
        <v>0</v>
      </c>
      <c r="M57" s="13">
        <v>0</v>
      </c>
      <c r="N57" s="13">
        <v>0</v>
      </c>
      <c r="O57" s="13">
        <v>0.0</v>
      </c>
      <c r="P57" s="13">
        <f>E57*4.00%</f>
        <v>135483.24</v>
      </c>
      <c r="Q57" s="13">
        <f>E57*5.74%</f>
        <v>194418.4494</v>
      </c>
      <c r="R57" s="13">
        <f>E57*2.00%</f>
        <v>67741.62</v>
      </c>
      <c r="S57" s="13">
        <f>ROUND(SUM(H57:R57),0)</f>
        <v>5048343</v>
      </c>
      <c r="T57" s="13">
        <f>ROUND(S57*13%,0)</f>
        <v>656285</v>
      </c>
      <c r="U57" s="13">
        <v>0</v>
      </c>
      <c r="V57" s="13">
        <v>0</v>
      </c>
      <c r="W57" s="13">
        <v>0</v>
      </c>
      <c r="X57" s="13">
        <f>U57+V57+W57</f>
        <v>0</v>
      </c>
      <c r="Y57" s="13">
        <f>X57*5%</f>
        <v>0</v>
      </c>
      <c r="Z57" s="13">
        <f>ROUND(S57+T57+X57+Y57,0)</f>
        <v>5704628</v>
      </c>
    </row>
    <row r="58" spans="1:26">
      <c r="A58">
        <v>49</v>
      </c>
      <c r="B58" t="s">
        <v>118</v>
      </c>
      <c r="C58"/>
      <c r="D58" s="12" t="s">
        <v>65</v>
      </c>
      <c r="E58" s="12">
        <v>3387081.0</v>
      </c>
      <c r="F58" s="12">
        <v>13</v>
      </c>
      <c r="G58" s="12">
        <v>12</v>
      </c>
      <c r="H58" s="12">
        <v>2201602.65</v>
      </c>
      <c r="I58" s="12">
        <v>1908904.04</v>
      </c>
      <c r="J58" s="12">
        <v>78000</v>
      </c>
      <c r="K58" s="12">
        <v>130000</v>
      </c>
      <c r="L58" s="12">
        <v>304837</v>
      </c>
      <c r="M58" s="12">
        <v>0</v>
      </c>
      <c r="N58" s="12">
        <v>0</v>
      </c>
      <c r="O58" s="12">
        <v>0.0</v>
      </c>
      <c r="P58" s="12">
        <f>E58*4.00%</f>
        <v>135483.24</v>
      </c>
      <c r="Q58" s="12">
        <f>E58*5.74%</f>
        <v>194418.4494</v>
      </c>
      <c r="R58" s="12">
        <f>E58*2.00%</f>
        <v>67741.62</v>
      </c>
      <c r="S58" s="12">
        <f>ROUND(SUM(H58:R58),0)</f>
        <v>5020987</v>
      </c>
      <c r="T58" s="12">
        <f>ROUND(S58*13%,0)</f>
        <v>652728</v>
      </c>
      <c r="U58" s="12">
        <v>0</v>
      </c>
      <c r="V58" s="12">
        <v>0</v>
      </c>
      <c r="W58" s="12">
        <v>0</v>
      </c>
      <c r="X58" s="12">
        <f>U58+V58+W58</f>
        <v>0</v>
      </c>
      <c r="Y58" s="12">
        <f>X58*5%</f>
        <v>0</v>
      </c>
      <c r="Z58" s="12">
        <f>ROUND(S58+T58+X58+Y58,0)</f>
        <v>5673715</v>
      </c>
    </row>
    <row r="59" spans="1:26">
      <c r="A59" s="8">
        <v>50</v>
      </c>
      <c r="B59" s="8" t="s">
        <v>119</v>
      </c>
      <c r="C59" s="8"/>
      <c r="D59" s="13" t="s">
        <v>77</v>
      </c>
      <c r="E59" s="13">
        <v>3387081.0</v>
      </c>
      <c r="F59" s="13">
        <v>20</v>
      </c>
      <c r="G59" s="13">
        <v>0</v>
      </c>
      <c r="H59" s="13">
        <v>3387081.0</v>
      </c>
      <c r="I59" s="13">
        <v>2936775.44</v>
      </c>
      <c r="J59" s="13">
        <v>120000</v>
      </c>
      <c r="K59" s="13">
        <v>200000</v>
      </c>
      <c r="L59" s="13">
        <v>0</v>
      </c>
      <c r="M59" s="13">
        <v>0</v>
      </c>
      <c r="N59" s="13">
        <v>0</v>
      </c>
      <c r="O59" s="13">
        <v>0.0</v>
      </c>
      <c r="P59" s="13">
        <f>E59*4.00%</f>
        <v>135483.24</v>
      </c>
      <c r="Q59" s="13">
        <f>E59*5.74%</f>
        <v>194418.4494</v>
      </c>
      <c r="R59" s="13">
        <f>E59*2.00%</f>
        <v>67741.62</v>
      </c>
      <c r="S59" s="13">
        <f>ROUND(SUM(H59:R59),0)</f>
        <v>7041500</v>
      </c>
      <c r="T59" s="13">
        <f>ROUND(S59*13%,0)</f>
        <v>915395</v>
      </c>
      <c r="U59" s="13">
        <v>0</v>
      </c>
      <c r="V59" s="13">
        <v>0</v>
      </c>
      <c r="W59" s="13">
        <v>0</v>
      </c>
      <c r="X59" s="13">
        <f>U59+V59+W59</f>
        <v>0</v>
      </c>
      <c r="Y59" s="13">
        <f>X59*5%</f>
        <v>0</v>
      </c>
      <c r="Z59" s="13">
        <f>ROUND(S59+T59+X59+Y59,0)</f>
        <v>7956895</v>
      </c>
    </row>
    <row r="60" spans="1:26">
      <c r="A60">
        <v>51</v>
      </c>
      <c r="B60" t="s">
        <v>120</v>
      </c>
      <c r="C60"/>
      <c r="D60" s="12" t="s">
        <v>72</v>
      </c>
      <c r="E60" s="12">
        <v>3387081.0</v>
      </c>
      <c r="F60" s="12">
        <v>8</v>
      </c>
      <c r="G60" s="12">
        <v>8</v>
      </c>
      <c r="H60" s="12">
        <v>1354832.4</v>
      </c>
      <c r="I60" s="12">
        <v>1174710.17</v>
      </c>
      <c r="J60" s="12">
        <v>48000</v>
      </c>
      <c r="K60" s="12">
        <v>80000</v>
      </c>
      <c r="L60" s="12">
        <v>203225</v>
      </c>
      <c r="M60" s="12">
        <v>0</v>
      </c>
      <c r="N60" s="12">
        <v>0</v>
      </c>
      <c r="O60" s="12">
        <v>0.0</v>
      </c>
      <c r="P60" s="12">
        <f>E60*4.00%</f>
        <v>135483.24</v>
      </c>
      <c r="Q60" s="12">
        <f>E60*5.74%</f>
        <v>194418.4494</v>
      </c>
      <c r="R60" s="12">
        <f>E60*2.00%</f>
        <v>67741.62</v>
      </c>
      <c r="S60" s="12">
        <f>ROUND(SUM(H60:R60),0)</f>
        <v>3258411</v>
      </c>
      <c r="T60" s="12">
        <f>ROUND(S60*13%,0)</f>
        <v>423593</v>
      </c>
      <c r="U60" s="12">
        <v>0</v>
      </c>
      <c r="V60" s="12">
        <v>0</v>
      </c>
      <c r="W60" s="12">
        <v>0</v>
      </c>
      <c r="X60" s="12">
        <f>U60+V60+W60</f>
        <v>0</v>
      </c>
      <c r="Y60" s="12">
        <f>X60*5%</f>
        <v>0</v>
      </c>
      <c r="Z60" s="12">
        <f>ROUND(S60+T60+X60+Y60,0)</f>
        <v>3682004</v>
      </c>
    </row>
    <row r="61" spans="1:26">
      <c r="A61" s="8">
        <v>52</v>
      </c>
      <c r="B61" s="8" t="s">
        <v>121</v>
      </c>
      <c r="C61" s="8"/>
      <c r="D61" s="13" t="s">
        <v>83</v>
      </c>
      <c r="E61" s="13">
        <v>3387081.0</v>
      </c>
      <c r="F61" s="13">
        <v>2</v>
      </c>
      <c r="G61" s="13">
        <v>0</v>
      </c>
      <c r="H61" s="13">
        <v>338708.1</v>
      </c>
      <c r="I61" s="13">
        <v>293677.54</v>
      </c>
      <c r="J61" s="13">
        <v>12000</v>
      </c>
      <c r="K61" s="13">
        <v>20000</v>
      </c>
      <c r="L61" s="13">
        <v>0</v>
      </c>
      <c r="M61" s="13">
        <v>0</v>
      </c>
      <c r="N61" s="13">
        <v>0</v>
      </c>
      <c r="O61" s="13">
        <v>0.0</v>
      </c>
      <c r="P61" s="13">
        <f>E61*4.00%</f>
        <v>135483.24</v>
      </c>
      <c r="Q61" s="13">
        <f>E61*5.74%</f>
        <v>194418.4494</v>
      </c>
      <c r="R61" s="13">
        <f>E61*2.00%</f>
        <v>67741.62</v>
      </c>
      <c r="S61" s="13">
        <f>ROUND(SUM(H61:R61),0)</f>
        <v>1062029</v>
      </c>
      <c r="T61" s="13">
        <f>ROUND(S61*13%,0)</f>
        <v>138064</v>
      </c>
      <c r="U61" s="13">
        <v>0</v>
      </c>
      <c r="V61" s="13">
        <v>0</v>
      </c>
      <c r="W61" s="13">
        <v>0</v>
      </c>
      <c r="X61" s="13">
        <f>U61+V61+W61</f>
        <v>0</v>
      </c>
      <c r="Y61" s="13">
        <f>X61*5%</f>
        <v>0</v>
      </c>
      <c r="Z61" s="13">
        <f>ROUND(S61+T61+X61+Y61,0)</f>
        <v>1200093</v>
      </c>
    </row>
    <row r="62" spans="1:26">
      <c r="A62">
        <v>53</v>
      </c>
      <c r="B62" t="s">
        <v>122</v>
      </c>
      <c r="C62"/>
      <c r="D62" s="12" t="s">
        <v>60</v>
      </c>
      <c r="E62" s="12">
        <v>3387081.0</v>
      </c>
      <c r="F62" s="12">
        <v>11</v>
      </c>
      <c r="G62" s="12">
        <v>7</v>
      </c>
      <c r="H62" s="12">
        <v>1862894.55</v>
      </c>
      <c r="I62" s="12">
        <v>1615226.49</v>
      </c>
      <c r="J62" s="12">
        <v>66000</v>
      </c>
      <c r="K62" s="12">
        <v>110000</v>
      </c>
      <c r="L62" s="12">
        <v>177822</v>
      </c>
      <c r="M62" s="12">
        <v>0</v>
      </c>
      <c r="N62" s="12">
        <v>0</v>
      </c>
      <c r="O62" s="12">
        <v>0.0</v>
      </c>
      <c r="P62" s="12">
        <f>E62*4.00%</f>
        <v>135483.24</v>
      </c>
      <c r="Q62" s="12">
        <f>E62*5.74%</f>
        <v>194418.4494</v>
      </c>
      <c r="R62" s="12">
        <f>E62*2.00%</f>
        <v>67741.62</v>
      </c>
      <c r="S62" s="12">
        <f>ROUND(SUM(H62:R62),0)</f>
        <v>4229586</v>
      </c>
      <c r="T62" s="12">
        <f>ROUND(S62*13%,0)</f>
        <v>549846</v>
      </c>
      <c r="U62" s="12">
        <v>0</v>
      </c>
      <c r="V62" s="12">
        <v>0</v>
      </c>
      <c r="W62" s="12">
        <v>0</v>
      </c>
      <c r="X62" s="12">
        <f>U62+V62+W62</f>
        <v>0</v>
      </c>
      <c r="Y62" s="12">
        <f>X62*5%</f>
        <v>0</v>
      </c>
      <c r="Z62" s="12">
        <f>ROUND(S62+T62+X62+Y62,0)</f>
        <v>4779432</v>
      </c>
    </row>
    <row r="63" spans="1:26">
      <c r="A63" s="8">
        <v>54</v>
      </c>
      <c r="B63" s="8" t="s">
        <v>123</v>
      </c>
      <c r="C63" s="8"/>
      <c r="D63" s="13" t="s">
        <v>117</v>
      </c>
      <c r="E63" s="13">
        <v>3387081.0</v>
      </c>
      <c r="F63" s="13">
        <v>21</v>
      </c>
      <c r="G63" s="13">
        <v>0</v>
      </c>
      <c r="H63" s="13">
        <v>3556435.05</v>
      </c>
      <c r="I63" s="13">
        <v>3083614.2</v>
      </c>
      <c r="J63" s="13">
        <v>126000</v>
      </c>
      <c r="K63" s="13">
        <v>210000</v>
      </c>
      <c r="L63" s="13">
        <v>0</v>
      </c>
      <c r="M63" s="13">
        <v>0</v>
      </c>
      <c r="N63" s="13">
        <v>0</v>
      </c>
      <c r="O63" s="13">
        <v>0.0</v>
      </c>
      <c r="P63" s="13">
        <f>E63*4.00%</f>
        <v>135483.24</v>
      </c>
      <c r="Q63" s="13">
        <f>E63*5.74%</f>
        <v>194418.4494</v>
      </c>
      <c r="R63" s="13">
        <f>E63*2.00%</f>
        <v>67741.62</v>
      </c>
      <c r="S63" s="13">
        <f>ROUND(SUM(H63:R63),0)</f>
        <v>7373693</v>
      </c>
      <c r="T63" s="13">
        <f>ROUND(S63*13%,0)</f>
        <v>958580</v>
      </c>
      <c r="U63" s="13">
        <v>0</v>
      </c>
      <c r="V63" s="13">
        <v>0</v>
      </c>
      <c r="W63" s="13">
        <v>0</v>
      </c>
      <c r="X63" s="13">
        <f>U63+V63+W63</f>
        <v>0</v>
      </c>
      <c r="Y63" s="13">
        <f>X63*5%</f>
        <v>0</v>
      </c>
      <c r="Z63" s="13">
        <f>ROUND(S63+T63+X63+Y63,0)</f>
        <v>8332273</v>
      </c>
    </row>
    <row r="64" spans="1:26">
      <c r="A64">
        <v>55</v>
      </c>
      <c r="B64" t="s">
        <v>124</v>
      </c>
      <c r="C64"/>
      <c r="D64" s="12" t="s">
        <v>117</v>
      </c>
      <c r="E64" s="12">
        <v>3387081.0</v>
      </c>
      <c r="F64" s="12">
        <v>20</v>
      </c>
      <c r="G64" s="12">
        <v>0</v>
      </c>
      <c r="H64" s="12">
        <v>3387081.0</v>
      </c>
      <c r="I64" s="12">
        <v>2936775.44</v>
      </c>
      <c r="J64" s="12">
        <v>120000</v>
      </c>
      <c r="K64" s="12">
        <v>200000</v>
      </c>
      <c r="L64" s="12">
        <v>0</v>
      </c>
      <c r="M64" s="12">
        <v>0</v>
      </c>
      <c r="N64" s="12">
        <v>0</v>
      </c>
      <c r="O64" s="12">
        <v>0.0</v>
      </c>
      <c r="P64" s="12">
        <f>E64*4.00%</f>
        <v>135483.24</v>
      </c>
      <c r="Q64" s="12">
        <f>E64*5.74%</f>
        <v>194418.4494</v>
      </c>
      <c r="R64" s="12">
        <f>E64*2.00%</f>
        <v>67741.62</v>
      </c>
      <c r="S64" s="12">
        <f>ROUND(SUM(H64:R64),0)</f>
        <v>7041500</v>
      </c>
      <c r="T64" s="12">
        <f>ROUND(S64*13%,0)</f>
        <v>915395</v>
      </c>
      <c r="U64" s="12">
        <v>0</v>
      </c>
      <c r="V64" s="12">
        <v>0</v>
      </c>
      <c r="W64" s="12">
        <v>0</v>
      </c>
      <c r="X64" s="12">
        <f>U64+V64+W64</f>
        <v>0</v>
      </c>
      <c r="Y64" s="12">
        <f>X64*5%</f>
        <v>0</v>
      </c>
      <c r="Z64" s="12">
        <f>ROUND(S64+T64+X64+Y64,0)</f>
        <v>7956895</v>
      </c>
    </row>
    <row r="65" spans="1:26">
      <c r="A65" s="8">
        <v>56</v>
      </c>
      <c r="B65" s="8" t="s">
        <v>125</v>
      </c>
      <c r="C65" s="8"/>
      <c r="D65" s="13" t="s">
        <v>60</v>
      </c>
      <c r="E65" s="13">
        <v>3387081.0</v>
      </c>
      <c r="F65" s="13">
        <v>9</v>
      </c>
      <c r="G65" s="13">
        <v>2</v>
      </c>
      <c r="H65" s="13">
        <v>1524186.45</v>
      </c>
      <c r="I65" s="13">
        <v>1321548.95</v>
      </c>
      <c r="J65" s="13">
        <v>54000</v>
      </c>
      <c r="K65" s="13">
        <v>90000</v>
      </c>
      <c r="L65" s="13">
        <v>50806</v>
      </c>
      <c r="M65" s="13">
        <v>0</v>
      </c>
      <c r="N65" s="13">
        <v>0</v>
      </c>
      <c r="O65" s="13">
        <v>0.0</v>
      </c>
      <c r="P65" s="13">
        <f>E65*4.00%</f>
        <v>135483.24</v>
      </c>
      <c r="Q65" s="13">
        <f>E65*5.74%</f>
        <v>194418.4494</v>
      </c>
      <c r="R65" s="13">
        <f>E65*2.00%</f>
        <v>67741.62</v>
      </c>
      <c r="S65" s="13">
        <f>ROUND(SUM(H65:R65),0)</f>
        <v>3438185</v>
      </c>
      <c r="T65" s="13">
        <f>ROUND(S65*13%,0)</f>
        <v>446964</v>
      </c>
      <c r="U65" s="13">
        <v>0</v>
      </c>
      <c r="V65" s="13">
        <v>0</v>
      </c>
      <c r="W65" s="13">
        <v>0</v>
      </c>
      <c r="X65" s="13">
        <f>U65+V65+W65</f>
        <v>0</v>
      </c>
      <c r="Y65" s="13">
        <f>X65*5%</f>
        <v>0</v>
      </c>
      <c r="Z65" s="13">
        <f>ROUND(S65+T65+X65+Y65,0)</f>
        <v>3885149</v>
      </c>
    </row>
    <row r="66" spans="1:26">
      <c r="A66">
        <v>57</v>
      </c>
      <c r="B66" t="s">
        <v>126</v>
      </c>
      <c r="C66"/>
      <c r="D66" s="12" t="s">
        <v>72</v>
      </c>
      <c r="E66" s="12">
        <v>3387081.0</v>
      </c>
      <c r="F66" s="12">
        <v>30</v>
      </c>
      <c r="G66" s="12">
        <v>0</v>
      </c>
      <c r="H66" s="12">
        <v>5080621.5</v>
      </c>
      <c r="I66" s="12">
        <v>4405163.15</v>
      </c>
      <c r="J66" s="12">
        <v>180000</v>
      </c>
      <c r="K66" s="12">
        <v>300000</v>
      </c>
      <c r="L66" s="12">
        <v>0</v>
      </c>
      <c r="M66" s="12">
        <v>0</v>
      </c>
      <c r="N66" s="12">
        <v>0</v>
      </c>
      <c r="O66" s="12">
        <v>0.0</v>
      </c>
      <c r="P66" s="12">
        <f>E66*4.00%</f>
        <v>135483.24</v>
      </c>
      <c r="Q66" s="12">
        <f>E66*5.74%</f>
        <v>194418.4494</v>
      </c>
      <c r="R66" s="12">
        <f>E66*2.00%</f>
        <v>67741.62</v>
      </c>
      <c r="S66" s="12">
        <f>ROUND(SUM(H66:R66),0)</f>
        <v>10363428</v>
      </c>
      <c r="T66" s="12">
        <f>ROUND(S66*13%,0)</f>
        <v>1347246</v>
      </c>
      <c r="U66" s="12">
        <v>0</v>
      </c>
      <c r="V66" s="12">
        <v>0</v>
      </c>
      <c r="W66" s="12">
        <v>0</v>
      </c>
      <c r="X66" s="12">
        <f>U66+V66+W66</f>
        <v>0</v>
      </c>
      <c r="Y66" s="12">
        <f>X66*5%</f>
        <v>0</v>
      </c>
      <c r="Z66" s="12">
        <f>ROUND(S66+T66+X66+Y66,0)</f>
        <v>11710674</v>
      </c>
    </row>
    <row r="67" spans="1:26">
      <c r="A67" s="8">
        <v>58</v>
      </c>
      <c r="B67" s="8" t="s">
        <v>127</v>
      </c>
      <c r="C67" s="8"/>
      <c r="D67" s="13" t="s">
        <v>70</v>
      </c>
      <c r="E67" s="13">
        <v>3387081.0</v>
      </c>
      <c r="F67" s="13">
        <v>17</v>
      </c>
      <c r="G67" s="13">
        <v>17</v>
      </c>
      <c r="H67" s="13">
        <v>2879018.85</v>
      </c>
      <c r="I67" s="13">
        <v>2496259.11</v>
      </c>
      <c r="J67" s="13">
        <v>102000</v>
      </c>
      <c r="K67" s="13">
        <v>170000</v>
      </c>
      <c r="L67" s="13">
        <v>431853</v>
      </c>
      <c r="M67" s="13">
        <v>0</v>
      </c>
      <c r="N67" s="13">
        <v>0</v>
      </c>
      <c r="O67" s="13">
        <v>0.0</v>
      </c>
      <c r="P67" s="13">
        <f>E67*4.00%</f>
        <v>135483.24</v>
      </c>
      <c r="Q67" s="13">
        <f>E67*5.74%</f>
        <v>194418.4494</v>
      </c>
      <c r="R67" s="13">
        <f>E67*2.00%</f>
        <v>67741.62</v>
      </c>
      <c r="S67" s="13">
        <f>ROUND(SUM(H67:R67),0)</f>
        <v>6476774</v>
      </c>
      <c r="T67" s="13">
        <f>ROUND(S67*13%,0)</f>
        <v>841981</v>
      </c>
      <c r="U67" s="13">
        <v>0</v>
      </c>
      <c r="V67" s="13">
        <v>0</v>
      </c>
      <c r="W67" s="13">
        <v>0</v>
      </c>
      <c r="X67" s="13">
        <f>U67+V67+W67</f>
        <v>0</v>
      </c>
      <c r="Y67" s="13">
        <f>X67*5%</f>
        <v>0</v>
      </c>
      <c r="Z67" s="13">
        <f>ROUND(S67+T67+X67+Y67,0)</f>
        <v>7318755</v>
      </c>
    </row>
    <row r="68" spans="1:26">
      <c r="A68">
        <v>59</v>
      </c>
      <c r="B68" t="s">
        <v>128</v>
      </c>
      <c r="C68"/>
      <c r="D68" s="12" t="s">
        <v>117</v>
      </c>
      <c r="E68" s="12">
        <v>3387081.0</v>
      </c>
      <c r="F68" s="12">
        <v>14</v>
      </c>
      <c r="G68" s="12">
        <v>4</v>
      </c>
      <c r="H68" s="12">
        <v>2370956.7</v>
      </c>
      <c r="I68" s="12">
        <v>2212370.83</v>
      </c>
      <c r="J68" s="12">
        <v>84000</v>
      </c>
      <c r="K68" s="12">
        <v>140000</v>
      </c>
      <c r="L68" s="12">
        <v>101612</v>
      </c>
      <c r="M68" s="12">
        <v>0</v>
      </c>
      <c r="N68" s="12">
        <v>0</v>
      </c>
      <c r="O68" s="12">
        <v>0.0</v>
      </c>
      <c r="P68" s="12">
        <f>E68*4.00%</f>
        <v>135483.24</v>
      </c>
      <c r="Q68" s="12">
        <f>E68*5.74%</f>
        <v>194418.4494</v>
      </c>
      <c r="R68" s="12">
        <f>E68*2.00%</f>
        <v>67741.62</v>
      </c>
      <c r="S68" s="12">
        <f>ROUND(SUM(H68:R68),0)</f>
        <v>5306583</v>
      </c>
      <c r="T68" s="12">
        <f>ROUND(S68*13%,0)</f>
        <v>689856</v>
      </c>
      <c r="U68" s="12">
        <v>0</v>
      </c>
      <c r="V68" s="12">
        <v>0</v>
      </c>
      <c r="W68" s="12">
        <v>0</v>
      </c>
      <c r="X68" s="12">
        <f>U68+V68+W68</f>
        <v>0</v>
      </c>
      <c r="Y68" s="12">
        <f>X68*5%</f>
        <v>0</v>
      </c>
      <c r="Z68" s="12">
        <f>ROUND(S68+T68+X68+Y68,0)</f>
        <v>5996439</v>
      </c>
    </row>
    <row r="69" spans="1:26">
      <c r="A69" s="8">
        <v>60</v>
      </c>
      <c r="B69" s="8" t="s">
        <v>129</v>
      </c>
      <c r="C69" s="8"/>
      <c r="D69" s="13" t="s">
        <v>110</v>
      </c>
      <c r="E69" s="13">
        <v>3387081.0</v>
      </c>
      <c r="F69" s="13">
        <v>10</v>
      </c>
      <c r="G69" s="13">
        <v>0</v>
      </c>
      <c r="H69" s="13">
        <v>1693540.5</v>
      </c>
      <c r="I69" s="13">
        <v>1468387.71</v>
      </c>
      <c r="J69" s="13">
        <v>60000</v>
      </c>
      <c r="K69" s="13">
        <v>100000</v>
      </c>
      <c r="L69" s="13">
        <v>0</v>
      </c>
      <c r="M69" s="13">
        <v>0</v>
      </c>
      <c r="N69" s="13">
        <v>0</v>
      </c>
      <c r="O69" s="13">
        <v>0.0</v>
      </c>
      <c r="P69" s="13">
        <f>E69*4.00%</f>
        <v>135483.24</v>
      </c>
      <c r="Q69" s="13">
        <f>E69*5.74%</f>
        <v>194418.4494</v>
      </c>
      <c r="R69" s="13">
        <f>E69*2.00%</f>
        <v>67741.62</v>
      </c>
      <c r="S69" s="13">
        <f>ROUND(SUM(H69:R69),0)</f>
        <v>3719572</v>
      </c>
      <c r="T69" s="13">
        <f>ROUND(S69*13%,0)</f>
        <v>483544</v>
      </c>
      <c r="U69" s="13">
        <v>0</v>
      </c>
      <c r="V69" s="13">
        <v>0</v>
      </c>
      <c r="W69" s="13">
        <v>0</v>
      </c>
      <c r="X69" s="13">
        <f>U69+V69+W69</f>
        <v>0</v>
      </c>
      <c r="Y69" s="13">
        <f>X69*5%</f>
        <v>0</v>
      </c>
      <c r="Z69" s="13">
        <f>ROUND(S69+T69+X69+Y69,0)</f>
        <v>4203116</v>
      </c>
    </row>
    <row r="70" spans="1:26">
      <c r="A70">
        <v>61</v>
      </c>
      <c r="B70" t="s">
        <v>130</v>
      </c>
      <c r="C70"/>
      <c r="D70" s="12" t="s">
        <v>70</v>
      </c>
      <c r="E70" s="12">
        <v>3387081.0</v>
      </c>
      <c r="F70" s="12">
        <v>15</v>
      </c>
      <c r="G70" s="12">
        <v>5</v>
      </c>
      <c r="H70" s="12">
        <v>2540310.75</v>
      </c>
      <c r="I70" s="12">
        <v>2202581.58</v>
      </c>
      <c r="J70" s="12">
        <v>90000</v>
      </c>
      <c r="K70" s="12">
        <v>150000</v>
      </c>
      <c r="L70" s="12">
        <v>127016</v>
      </c>
      <c r="M70" s="12">
        <v>0</v>
      </c>
      <c r="N70" s="12">
        <v>0</v>
      </c>
      <c r="O70" s="12">
        <v>0.0</v>
      </c>
      <c r="P70" s="12">
        <f>E70*4.00%</f>
        <v>135483.24</v>
      </c>
      <c r="Q70" s="12">
        <f>E70*5.74%</f>
        <v>194418.4494</v>
      </c>
      <c r="R70" s="12">
        <f>E70*2.00%</f>
        <v>67741.62</v>
      </c>
      <c r="S70" s="12">
        <f>ROUND(SUM(H70:R70),0)</f>
        <v>5507552</v>
      </c>
      <c r="T70" s="12">
        <f>ROUND(S70*13%,0)</f>
        <v>715982</v>
      </c>
      <c r="U70" s="12">
        <v>0</v>
      </c>
      <c r="V70" s="12">
        <v>0</v>
      </c>
      <c r="W70" s="12">
        <v>0</v>
      </c>
      <c r="X70" s="12">
        <f>U70+V70+W70</f>
        <v>0</v>
      </c>
      <c r="Y70" s="12">
        <f>X70*5%</f>
        <v>0</v>
      </c>
      <c r="Z70" s="12">
        <f>ROUND(S70+T70+X70+Y70,0)</f>
        <v>6223534</v>
      </c>
    </row>
    <row r="71" spans="1:26">
      <c r="A71" s="8">
        <v>62</v>
      </c>
      <c r="B71" s="8" t="s">
        <v>131</v>
      </c>
      <c r="C71" s="8"/>
      <c r="D71" s="13" t="s">
        <v>60</v>
      </c>
      <c r="E71" s="13">
        <v>3387081.0</v>
      </c>
      <c r="F71" s="13">
        <v>13</v>
      </c>
      <c r="G71" s="13">
        <v>13</v>
      </c>
      <c r="H71" s="13">
        <v>2201602.65</v>
      </c>
      <c r="I71" s="13">
        <v>1908904.04</v>
      </c>
      <c r="J71" s="13">
        <v>78000</v>
      </c>
      <c r="K71" s="13">
        <v>130000</v>
      </c>
      <c r="L71" s="13">
        <v>330240</v>
      </c>
      <c r="M71" s="13">
        <v>0</v>
      </c>
      <c r="N71" s="13">
        <v>0</v>
      </c>
      <c r="O71" s="13">
        <v>0.0</v>
      </c>
      <c r="P71" s="13">
        <f>E71*4.00%</f>
        <v>135483.24</v>
      </c>
      <c r="Q71" s="13">
        <f>E71*5.74%</f>
        <v>194418.4494</v>
      </c>
      <c r="R71" s="13">
        <f>E71*2.00%</f>
        <v>67741.62</v>
      </c>
      <c r="S71" s="13">
        <f>ROUND(SUM(H71:R71),0)</f>
        <v>5046390</v>
      </c>
      <c r="T71" s="13">
        <f>ROUND(S71*13%,0)</f>
        <v>656031</v>
      </c>
      <c r="U71" s="13">
        <v>0</v>
      </c>
      <c r="V71" s="13">
        <v>0</v>
      </c>
      <c r="W71" s="13">
        <v>0</v>
      </c>
      <c r="X71" s="13">
        <f>U71+V71+W71</f>
        <v>0</v>
      </c>
      <c r="Y71" s="13">
        <f>X71*5%</f>
        <v>0</v>
      </c>
      <c r="Z71" s="13">
        <f>ROUND(S71+T71+X71+Y71,0)</f>
        <v>5702421</v>
      </c>
    </row>
    <row r="72" spans="1:26">
      <c r="A72">
        <v>63</v>
      </c>
      <c r="B72" t="s">
        <v>132</v>
      </c>
      <c r="C72"/>
      <c r="D72" s="12" t="s">
        <v>65</v>
      </c>
      <c r="E72" s="12">
        <v>3387081.0</v>
      </c>
      <c r="F72" s="12">
        <v>12</v>
      </c>
      <c r="G72" s="12">
        <v>10</v>
      </c>
      <c r="H72" s="12">
        <v>2032248.6</v>
      </c>
      <c r="I72" s="12">
        <v>1762065.26</v>
      </c>
      <c r="J72" s="12">
        <v>72000</v>
      </c>
      <c r="K72" s="12">
        <v>120000</v>
      </c>
      <c r="L72" s="12">
        <v>254031</v>
      </c>
      <c r="M72" s="12">
        <v>0</v>
      </c>
      <c r="N72" s="12">
        <v>0</v>
      </c>
      <c r="O72" s="12">
        <v>0.0</v>
      </c>
      <c r="P72" s="12">
        <f>E72*4.00%</f>
        <v>135483.24</v>
      </c>
      <c r="Q72" s="12">
        <f>E72*5.74%</f>
        <v>194418.4494</v>
      </c>
      <c r="R72" s="12">
        <f>E72*2.00%</f>
        <v>67741.62</v>
      </c>
      <c r="S72" s="12">
        <f>ROUND(SUM(H72:R72),0)</f>
        <v>4637988</v>
      </c>
      <c r="T72" s="12">
        <f>ROUND(S72*13%,0)</f>
        <v>602938</v>
      </c>
      <c r="U72" s="12">
        <v>0</v>
      </c>
      <c r="V72" s="12">
        <v>0</v>
      </c>
      <c r="W72" s="12">
        <v>0</v>
      </c>
      <c r="X72" s="12">
        <f>U72+V72+W72</f>
        <v>0</v>
      </c>
      <c r="Y72" s="12">
        <f>X72*5%</f>
        <v>0</v>
      </c>
      <c r="Z72" s="12">
        <f>ROUND(S72+T72+X72+Y72,0)</f>
        <v>5240926</v>
      </c>
    </row>
    <row r="73" spans="1:26">
      <c r="A73" s="8">
        <v>64</v>
      </c>
      <c r="B73" s="8" t="s">
        <v>133</v>
      </c>
      <c r="C73" s="8"/>
      <c r="D73" s="13" t="s">
        <v>60</v>
      </c>
      <c r="E73" s="13">
        <v>3387081.0</v>
      </c>
      <c r="F73" s="13">
        <v>13</v>
      </c>
      <c r="G73" s="13">
        <v>8</v>
      </c>
      <c r="H73" s="13">
        <v>2201602.65</v>
      </c>
      <c r="I73" s="13">
        <v>1908904.04</v>
      </c>
      <c r="J73" s="13">
        <v>78000</v>
      </c>
      <c r="K73" s="13">
        <v>130000</v>
      </c>
      <c r="L73" s="13">
        <v>203225</v>
      </c>
      <c r="M73" s="13">
        <v>0</v>
      </c>
      <c r="N73" s="13">
        <v>0</v>
      </c>
      <c r="O73" s="13">
        <v>0.0</v>
      </c>
      <c r="P73" s="13">
        <f>E73*4.00%</f>
        <v>135483.24</v>
      </c>
      <c r="Q73" s="13">
        <f>E73*5.74%</f>
        <v>194418.4494</v>
      </c>
      <c r="R73" s="13">
        <f>E73*2.00%</f>
        <v>67741.62</v>
      </c>
      <c r="S73" s="13">
        <f>ROUND(SUM(H73:R73),0)</f>
        <v>4919375</v>
      </c>
      <c r="T73" s="13">
        <f>ROUND(S73*13%,0)</f>
        <v>639519</v>
      </c>
      <c r="U73" s="13">
        <v>0</v>
      </c>
      <c r="V73" s="13">
        <v>0</v>
      </c>
      <c r="W73" s="13">
        <v>0</v>
      </c>
      <c r="X73" s="13">
        <f>U73+V73+W73</f>
        <v>0</v>
      </c>
      <c r="Y73" s="13">
        <f>X73*5%</f>
        <v>0</v>
      </c>
      <c r="Z73" s="13">
        <f>ROUND(S73+T73+X73+Y73,0)</f>
        <v>5558894</v>
      </c>
    </row>
    <row r="74" spans="1:26">
      <c r="A74">
        <v>65</v>
      </c>
      <c r="B74" t="s">
        <v>134</v>
      </c>
      <c r="C74"/>
      <c r="D74" s="12" t="s">
        <v>114</v>
      </c>
      <c r="E74" s="12">
        <v>3387081.0</v>
      </c>
      <c r="F74" s="12">
        <v>3</v>
      </c>
      <c r="G74" s="12">
        <v>2</v>
      </c>
      <c r="H74" s="12">
        <v>508062.15</v>
      </c>
      <c r="I74" s="12">
        <v>440516.31</v>
      </c>
      <c r="J74" s="12">
        <v>18000</v>
      </c>
      <c r="K74" s="12">
        <v>30000</v>
      </c>
      <c r="L74" s="12">
        <v>50806</v>
      </c>
      <c r="M74" s="12">
        <v>0</v>
      </c>
      <c r="N74" s="12">
        <v>0</v>
      </c>
      <c r="O74" s="12">
        <v>0.0</v>
      </c>
      <c r="P74" s="12">
        <f>E74*4.00%</f>
        <v>135483.24</v>
      </c>
      <c r="Q74" s="12">
        <f>E74*5.74%</f>
        <v>194418.4494</v>
      </c>
      <c r="R74" s="12">
        <f>E74*2.00%</f>
        <v>67741.62</v>
      </c>
      <c r="S74" s="12">
        <f>ROUND(SUM(H74:R74),0)</f>
        <v>1445028</v>
      </c>
      <c r="T74" s="12">
        <f>ROUND(S74*13%,0)</f>
        <v>187854</v>
      </c>
      <c r="U74" s="12">
        <v>0</v>
      </c>
      <c r="V74" s="12">
        <v>0</v>
      </c>
      <c r="W74" s="12">
        <v>0</v>
      </c>
      <c r="X74" s="12">
        <f>U74+V74+W74</f>
        <v>0</v>
      </c>
      <c r="Y74" s="12">
        <f>X74*5%</f>
        <v>0</v>
      </c>
      <c r="Z74" s="12">
        <f>ROUND(S74+T74+X74+Y74,0)</f>
        <v>1632882</v>
      </c>
    </row>
    <row r="75" spans="1:26">
      <c r="A75" s="8">
        <v>66</v>
      </c>
      <c r="B75" s="8" t="s">
        <v>135</v>
      </c>
      <c r="C75" s="8"/>
      <c r="D75" s="13" t="s">
        <v>83</v>
      </c>
      <c r="E75" s="13">
        <v>3387081.0</v>
      </c>
      <c r="F75" s="13">
        <v>10</v>
      </c>
      <c r="G75" s="13">
        <v>10</v>
      </c>
      <c r="H75" s="13">
        <v>1693540.5</v>
      </c>
      <c r="I75" s="13">
        <v>1468387.71</v>
      </c>
      <c r="J75" s="13">
        <v>60000</v>
      </c>
      <c r="K75" s="13">
        <v>100000</v>
      </c>
      <c r="L75" s="13">
        <v>254031</v>
      </c>
      <c r="M75" s="13">
        <v>0</v>
      </c>
      <c r="N75" s="13">
        <v>0</v>
      </c>
      <c r="O75" s="13">
        <v>0.0</v>
      </c>
      <c r="P75" s="13">
        <f>E75*4.00%</f>
        <v>135483.24</v>
      </c>
      <c r="Q75" s="13">
        <f>E75*5.74%</f>
        <v>194418.4494</v>
      </c>
      <c r="R75" s="13">
        <f>E75*2.00%</f>
        <v>67741.62</v>
      </c>
      <c r="S75" s="13">
        <f>ROUND(SUM(H75:R75),0)</f>
        <v>3973603</v>
      </c>
      <c r="T75" s="13">
        <f>ROUND(S75*13%,0)</f>
        <v>516568</v>
      </c>
      <c r="U75" s="13">
        <v>0</v>
      </c>
      <c r="V75" s="13">
        <v>0</v>
      </c>
      <c r="W75" s="13">
        <v>0</v>
      </c>
      <c r="X75" s="13">
        <f>U75+V75+W75</f>
        <v>0</v>
      </c>
      <c r="Y75" s="13">
        <f>X75*5%</f>
        <v>0</v>
      </c>
      <c r="Z75" s="13">
        <f>ROUND(S75+T75+X75+Y75,0)</f>
        <v>4490171</v>
      </c>
    </row>
    <row r="76" spans="1:26">
      <c r="A76">
        <v>67</v>
      </c>
      <c r="B76" t="s">
        <v>136</v>
      </c>
      <c r="C76"/>
      <c r="D76" s="12" t="s">
        <v>117</v>
      </c>
      <c r="E76" s="12">
        <v>3387081.0</v>
      </c>
      <c r="F76" s="12">
        <v>16</v>
      </c>
      <c r="G76" s="12">
        <v>0</v>
      </c>
      <c r="H76" s="12">
        <v>2709664.8</v>
      </c>
      <c r="I76" s="12">
        <v>2349420.35</v>
      </c>
      <c r="J76" s="12">
        <v>96000</v>
      </c>
      <c r="K76" s="12">
        <v>160000</v>
      </c>
      <c r="L76" s="12">
        <v>0</v>
      </c>
      <c r="M76" s="12">
        <v>0</v>
      </c>
      <c r="N76" s="12">
        <v>0</v>
      </c>
      <c r="O76" s="12">
        <v>0.0</v>
      </c>
      <c r="P76" s="12">
        <f>E76*4.00%</f>
        <v>135483.24</v>
      </c>
      <c r="Q76" s="12">
        <f>E76*5.74%</f>
        <v>194418.4494</v>
      </c>
      <c r="R76" s="12">
        <f>E76*2.00%</f>
        <v>67741.62</v>
      </c>
      <c r="S76" s="12">
        <f>ROUND(SUM(H76:R76),0)</f>
        <v>5712728</v>
      </c>
      <c r="T76" s="12">
        <f>ROUND(S76*13%,0)</f>
        <v>742655</v>
      </c>
      <c r="U76" s="12">
        <v>0</v>
      </c>
      <c r="V76" s="12">
        <v>0</v>
      </c>
      <c r="W76" s="12">
        <v>0</v>
      </c>
      <c r="X76" s="12">
        <f>U76+V76+W76</f>
        <v>0</v>
      </c>
      <c r="Y76" s="12">
        <f>X76*5%</f>
        <v>0</v>
      </c>
      <c r="Z76" s="12">
        <f>ROUND(S76+T76+X76+Y76,0)</f>
        <v>6455383</v>
      </c>
    </row>
    <row r="77" spans="1:26">
      <c r="A77" s="8">
        <v>68</v>
      </c>
      <c r="B77" s="8" t="s">
        <v>137</v>
      </c>
      <c r="C77" s="8"/>
      <c r="D77" s="13" t="s">
        <v>138</v>
      </c>
      <c r="E77" s="13">
        <v>3387081.0</v>
      </c>
      <c r="F77" s="13">
        <v>26</v>
      </c>
      <c r="G77" s="13">
        <v>0</v>
      </c>
      <c r="H77" s="13">
        <v>4403205.3</v>
      </c>
      <c r="I77" s="13">
        <v>3817808.06</v>
      </c>
      <c r="J77" s="13">
        <v>156000</v>
      </c>
      <c r="K77" s="13">
        <v>260000</v>
      </c>
      <c r="L77" s="13">
        <v>0</v>
      </c>
      <c r="M77" s="13">
        <v>0</v>
      </c>
      <c r="N77" s="13">
        <v>0</v>
      </c>
      <c r="O77" s="13">
        <v>0.0</v>
      </c>
      <c r="P77" s="13">
        <f>E77*4.00%</f>
        <v>135483.24</v>
      </c>
      <c r="Q77" s="13">
        <f>E77*5.74%</f>
        <v>194418.4494</v>
      </c>
      <c r="R77" s="13">
        <f>E77*2.00%</f>
        <v>67741.62</v>
      </c>
      <c r="S77" s="13">
        <f>ROUND(SUM(H77:R77),0)</f>
        <v>9034657</v>
      </c>
      <c r="T77" s="13">
        <f>ROUND(S77*13%,0)</f>
        <v>1174505</v>
      </c>
      <c r="U77" s="13">
        <v>0</v>
      </c>
      <c r="V77" s="13">
        <v>0</v>
      </c>
      <c r="W77" s="13">
        <v>0</v>
      </c>
      <c r="X77" s="13">
        <f>U77+V77+W77</f>
        <v>0</v>
      </c>
      <c r="Y77" s="13">
        <f>X77*5%</f>
        <v>0</v>
      </c>
      <c r="Z77" s="13">
        <f>ROUND(S77+T77+X77+Y77,0)</f>
        <v>10209162</v>
      </c>
    </row>
    <row r="78" spans="1:26">
      <c r="A78">
        <v>69</v>
      </c>
      <c r="B78" t="s">
        <v>139</v>
      </c>
      <c r="C78"/>
      <c r="D78" s="12" t="s">
        <v>60</v>
      </c>
      <c r="E78" s="12">
        <v>3387081.0</v>
      </c>
      <c r="F78" s="12">
        <v>15</v>
      </c>
      <c r="G78" s="12">
        <v>0</v>
      </c>
      <c r="H78" s="12">
        <v>2540310.75</v>
      </c>
      <c r="I78" s="12">
        <v>2202581.58</v>
      </c>
      <c r="J78" s="12">
        <v>90000</v>
      </c>
      <c r="K78" s="12">
        <v>150000</v>
      </c>
      <c r="L78" s="12">
        <v>0</v>
      </c>
      <c r="M78" s="12">
        <v>0</v>
      </c>
      <c r="N78" s="12">
        <v>0</v>
      </c>
      <c r="O78" s="12">
        <v>0.0</v>
      </c>
      <c r="P78" s="12">
        <f>E78*4.00%</f>
        <v>135483.24</v>
      </c>
      <c r="Q78" s="12">
        <f>E78*5.74%</f>
        <v>194418.4494</v>
      </c>
      <c r="R78" s="12">
        <f>E78*2.00%</f>
        <v>67741.62</v>
      </c>
      <c r="S78" s="12">
        <f>ROUND(SUM(H78:R78),0)</f>
        <v>5380536</v>
      </c>
      <c r="T78" s="12">
        <f>ROUND(S78*13%,0)</f>
        <v>699470</v>
      </c>
      <c r="U78" s="12">
        <v>0</v>
      </c>
      <c r="V78" s="12">
        <v>0</v>
      </c>
      <c r="W78" s="12">
        <v>0</v>
      </c>
      <c r="X78" s="12">
        <f>U78+V78+W78</f>
        <v>0</v>
      </c>
      <c r="Y78" s="12">
        <f>X78*5%</f>
        <v>0</v>
      </c>
      <c r="Z78" s="12">
        <f>ROUND(S78+T78+X78+Y78,0)</f>
        <v>6080006</v>
      </c>
    </row>
    <row r="79" spans="1:26">
      <c r="A79" s="8">
        <v>70</v>
      </c>
      <c r="B79" s="8" t="s">
        <v>140</v>
      </c>
      <c r="C79" s="8"/>
      <c r="D79" s="13" t="s">
        <v>63</v>
      </c>
      <c r="E79" s="13">
        <v>3387081.0</v>
      </c>
      <c r="F79" s="13">
        <v>7</v>
      </c>
      <c r="G79" s="13">
        <v>0</v>
      </c>
      <c r="H79" s="13">
        <v>1185478.35</v>
      </c>
      <c r="I79" s="13">
        <v>1027871.4</v>
      </c>
      <c r="J79" s="13">
        <v>42000</v>
      </c>
      <c r="K79" s="13">
        <v>70000</v>
      </c>
      <c r="L79" s="13">
        <v>0</v>
      </c>
      <c r="M79" s="13">
        <v>0</v>
      </c>
      <c r="N79" s="13">
        <v>0</v>
      </c>
      <c r="O79" s="13">
        <v>0.0</v>
      </c>
      <c r="P79" s="13">
        <f>E79*4.00%</f>
        <v>135483.24</v>
      </c>
      <c r="Q79" s="13">
        <f>E79*5.74%</f>
        <v>194418.4494</v>
      </c>
      <c r="R79" s="13">
        <f>E79*2.00%</f>
        <v>67741.62</v>
      </c>
      <c r="S79" s="13">
        <f>ROUND(SUM(H79:R79),0)</f>
        <v>2722993</v>
      </c>
      <c r="T79" s="13">
        <f>ROUND(S79*13%,0)</f>
        <v>353989</v>
      </c>
      <c r="U79" s="13">
        <v>0</v>
      </c>
      <c r="V79" s="13">
        <v>0</v>
      </c>
      <c r="W79" s="13">
        <v>0</v>
      </c>
      <c r="X79" s="13">
        <f>U79+V79+W79</f>
        <v>0</v>
      </c>
      <c r="Y79" s="13">
        <f>X79*5%</f>
        <v>0</v>
      </c>
      <c r="Z79" s="13">
        <f>ROUND(S79+T79+X79+Y79,0)</f>
        <v>3076982</v>
      </c>
    </row>
    <row r="80" spans="1:26">
      <c r="A80">
        <v>71</v>
      </c>
      <c r="B80" t="s">
        <v>141</v>
      </c>
      <c r="C80"/>
      <c r="D80" s="12" t="s">
        <v>142</v>
      </c>
      <c r="E80" s="12">
        <v>3387081.0</v>
      </c>
      <c r="F80" s="12">
        <v>6</v>
      </c>
      <c r="G80" s="12">
        <v>0</v>
      </c>
      <c r="H80" s="12">
        <v>1016124.3</v>
      </c>
      <c r="I80" s="12">
        <v>881032.63</v>
      </c>
      <c r="J80" s="12">
        <v>36000</v>
      </c>
      <c r="K80" s="12">
        <v>60000</v>
      </c>
      <c r="L80" s="12">
        <v>0</v>
      </c>
      <c r="M80" s="12">
        <v>0</v>
      </c>
      <c r="N80" s="12">
        <v>0</v>
      </c>
      <c r="O80" s="12">
        <v>0.0</v>
      </c>
      <c r="P80" s="12">
        <f>E80*4.00%</f>
        <v>135483.24</v>
      </c>
      <c r="Q80" s="12">
        <f>E80*5.74%</f>
        <v>194418.4494</v>
      </c>
      <c r="R80" s="12">
        <f>E80*2.00%</f>
        <v>67741.62</v>
      </c>
      <c r="S80" s="12">
        <f>ROUND(SUM(H80:R80),0)</f>
        <v>2390800</v>
      </c>
      <c r="T80" s="12">
        <f>ROUND(S80*13%,0)</f>
        <v>310804</v>
      </c>
      <c r="U80" s="12">
        <v>0</v>
      </c>
      <c r="V80" s="12">
        <v>0</v>
      </c>
      <c r="W80" s="12">
        <v>0</v>
      </c>
      <c r="X80" s="12">
        <f>U80+V80+W80</f>
        <v>0</v>
      </c>
      <c r="Y80" s="12">
        <f>X80*5%</f>
        <v>0</v>
      </c>
      <c r="Z80" s="12">
        <f>ROUND(S80+T80+X80+Y80,0)</f>
        <v>2701604</v>
      </c>
    </row>
    <row r="81" spans="1:26">
      <c r="A81" s="8">
        <v>72</v>
      </c>
      <c r="B81" s="8" t="s">
        <v>143</v>
      </c>
      <c r="C81" s="8"/>
      <c r="D81" s="13" t="s">
        <v>63</v>
      </c>
      <c r="E81" s="13">
        <v>3387081.0</v>
      </c>
      <c r="F81" s="13">
        <v>19</v>
      </c>
      <c r="G81" s="13">
        <v>0</v>
      </c>
      <c r="H81" s="13">
        <v>3217726.95</v>
      </c>
      <c r="I81" s="13">
        <v>2789936.66</v>
      </c>
      <c r="J81" s="13">
        <v>114000</v>
      </c>
      <c r="K81" s="13">
        <v>190000</v>
      </c>
      <c r="L81" s="13">
        <v>0</v>
      </c>
      <c r="M81" s="13">
        <v>0</v>
      </c>
      <c r="N81" s="13">
        <v>0</v>
      </c>
      <c r="O81" s="13">
        <v>0.0</v>
      </c>
      <c r="P81" s="13">
        <f>E81*4.00%</f>
        <v>135483.24</v>
      </c>
      <c r="Q81" s="13">
        <f>E81*5.74%</f>
        <v>194418.4494</v>
      </c>
      <c r="R81" s="13">
        <f>E81*2.00%</f>
        <v>67741.62</v>
      </c>
      <c r="S81" s="13">
        <f>ROUND(SUM(H81:R81),0)</f>
        <v>6709307</v>
      </c>
      <c r="T81" s="13">
        <f>ROUND(S81*13%,0)</f>
        <v>872210</v>
      </c>
      <c r="U81" s="13">
        <v>0</v>
      </c>
      <c r="V81" s="13">
        <v>0</v>
      </c>
      <c r="W81" s="13">
        <v>0</v>
      </c>
      <c r="X81" s="13">
        <f>U81+V81+W81</f>
        <v>0</v>
      </c>
      <c r="Y81" s="13">
        <f>X81*5%</f>
        <v>0</v>
      </c>
      <c r="Z81" s="13">
        <f>ROUND(S81+T81+X81+Y81,0)</f>
        <v>7581517</v>
      </c>
    </row>
    <row r="82" spans="1:26">
      <c r="A82">
        <v>73</v>
      </c>
      <c r="B82" t="s">
        <v>144</v>
      </c>
      <c r="C82"/>
      <c r="D82" s="12" t="s">
        <v>117</v>
      </c>
      <c r="E82" s="12">
        <v>3387081.0</v>
      </c>
      <c r="F82" s="12">
        <v>16</v>
      </c>
      <c r="G82" s="12">
        <v>0</v>
      </c>
      <c r="H82" s="12">
        <v>2709664.8</v>
      </c>
      <c r="I82" s="12">
        <v>2349420.35</v>
      </c>
      <c r="J82" s="12">
        <v>96000</v>
      </c>
      <c r="K82" s="12">
        <v>160000</v>
      </c>
      <c r="L82" s="12">
        <v>0</v>
      </c>
      <c r="M82" s="12">
        <v>0</v>
      </c>
      <c r="N82" s="12">
        <v>0</v>
      </c>
      <c r="O82" s="12">
        <v>0.0</v>
      </c>
      <c r="P82" s="12">
        <f>E82*4.00%</f>
        <v>135483.24</v>
      </c>
      <c r="Q82" s="12">
        <f>E82*5.74%</f>
        <v>194418.4494</v>
      </c>
      <c r="R82" s="12">
        <f>E82*2.00%</f>
        <v>67741.62</v>
      </c>
      <c r="S82" s="12">
        <f>ROUND(SUM(H82:R82),0)</f>
        <v>5712728</v>
      </c>
      <c r="T82" s="12">
        <f>ROUND(S82*13%,0)</f>
        <v>742655</v>
      </c>
      <c r="U82" s="12">
        <v>0</v>
      </c>
      <c r="V82" s="12">
        <v>0</v>
      </c>
      <c r="W82" s="12">
        <v>0</v>
      </c>
      <c r="X82" s="12">
        <f>U82+V82+W82</f>
        <v>0</v>
      </c>
      <c r="Y82" s="12">
        <f>X82*5%</f>
        <v>0</v>
      </c>
      <c r="Z82" s="12">
        <f>ROUND(S82+T82+X82+Y82,0)</f>
        <v>6455383</v>
      </c>
    </row>
    <row r="83" spans="1:26">
      <c r="A83" s="8">
        <v>74</v>
      </c>
      <c r="B83" s="8" t="s">
        <v>145</v>
      </c>
      <c r="C83" s="8"/>
      <c r="D83" s="13" t="s">
        <v>63</v>
      </c>
      <c r="E83" s="13">
        <v>3387081.0</v>
      </c>
      <c r="F83" s="13">
        <v>11</v>
      </c>
      <c r="G83" s="13">
        <v>9</v>
      </c>
      <c r="H83" s="13">
        <v>1862894.55</v>
      </c>
      <c r="I83" s="13">
        <v>1615226.49</v>
      </c>
      <c r="J83" s="13">
        <v>66000</v>
      </c>
      <c r="K83" s="13">
        <v>110000</v>
      </c>
      <c r="L83" s="13">
        <v>228628</v>
      </c>
      <c r="M83" s="13">
        <v>0</v>
      </c>
      <c r="N83" s="13">
        <v>0</v>
      </c>
      <c r="O83" s="13">
        <v>0.0</v>
      </c>
      <c r="P83" s="13">
        <f>E83*4.00%</f>
        <v>135483.24</v>
      </c>
      <c r="Q83" s="13">
        <f>E83*5.74%</f>
        <v>194418.4494</v>
      </c>
      <c r="R83" s="13">
        <f>E83*2.00%</f>
        <v>67741.62</v>
      </c>
      <c r="S83" s="13">
        <f>ROUND(SUM(H83:R83),0)</f>
        <v>4280392</v>
      </c>
      <c r="T83" s="13">
        <f>ROUND(S83*13%,0)</f>
        <v>556451</v>
      </c>
      <c r="U83" s="13">
        <v>0</v>
      </c>
      <c r="V83" s="13">
        <v>0</v>
      </c>
      <c r="W83" s="13">
        <v>0</v>
      </c>
      <c r="X83" s="13">
        <f>U83+V83+W83</f>
        <v>0</v>
      </c>
      <c r="Y83" s="13">
        <f>X83*5%</f>
        <v>0</v>
      </c>
      <c r="Z83" s="13">
        <f>ROUND(S83+T83+X83+Y83,0)</f>
        <v>4836843</v>
      </c>
    </row>
    <row r="84" spans="1:26">
      <c r="A84">
        <v>75</v>
      </c>
      <c r="B84" t="s">
        <v>146</v>
      </c>
      <c r="C84"/>
      <c r="D84" s="12" t="s">
        <v>90</v>
      </c>
      <c r="E84" s="12">
        <v>3387081.0</v>
      </c>
      <c r="F84" s="12">
        <v>19</v>
      </c>
      <c r="G84" s="12">
        <v>9</v>
      </c>
      <c r="H84" s="12">
        <v>3217726.95</v>
      </c>
      <c r="I84" s="12">
        <v>2789936.66</v>
      </c>
      <c r="J84" s="12">
        <v>114000</v>
      </c>
      <c r="K84" s="12">
        <v>190000</v>
      </c>
      <c r="L84" s="12">
        <v>228628</v>
      </c>
      <c r="M84" s="12">
        <v>0</v>
      </c>
      <c r="N84" s="12">
        <v>0</v>
      </c>
      <c r="O84" s="12">
        <v>0.0</v>
      </c>
      <c r="P84" s="12">
        <f>E84*4.00%</f>
        <v>135483.24</v>
      </c>
      <c r="Q84" s="12">
        <f>E84*5.74%</f>
        <v>194418.4494</v>
      </c>
      <c r="R84" s="12">
        <f>E84*2.00%</f>
        <v>67741.62</v>
      </c>
      <c r="S84" s="12">
        <f>ROUND(SUM(H84:R84),0)</f>
        <v>6937935</v>
      </c>
      <c r="T84" s="12">
        <f>ROUND(S84*13%,0)</f>
        <v>901932</v>
      </c>
      <c r="U84" s="12">
        <v>0</v>
      </c>
      <c r="V84" s="12">
        <v>0</v>
      </c>
      <c r="W84" s="12">
        <v>0</v>
      </c>
      <c r="X84" s="12">
        <f>U84+V84+W84</f>
        <v>0</v>
      </c>
      <c r="Y84" s="12">
        <f>X84*5%</f>
        <v>0</v>
      </c>
      <c r="Z84" s="12">
        <f>ROUND(S84+T84+X84+Y84,0)</f>
        <v>7839867</v>
      </c>
    </row>
    <row r="85" spans="1:26"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9"/>
      <c r="B86" s="10"/>
      <c r="C86" s="10" t="s">
        <v>147</v>
      </c>
      <c r="D86" s="14"/>
      <c r="E86" s="14">
        <f>SUM(E9:E84)</f>
        <v>254031075</v>
      </c>
      <c r="F86" s="14">
        <f>SUM(F9:F84)</f>
        <v>1008</v>
      </c>
      <c r="G86" s="14">
        <f>SUM(G9:G84)</f>
        <v>296</v>
      </c>
      <c r="H86" s="14">
        <f>SUM(H9:H84)</f>
        <v>170708882.4</v>
      </c>
      <c r="I86" s="14">
        <f>SUM(I9:I84)</f>
        <v>146290573.56</v>
      </c>
      <c r="J86" s="14">
        <f>SUM(J9:J84)</f>
        <v>6048000</v>
      </c>
      <c r="K86" s="14">
        <f>SUM(K9:K84)</f>
        <v>10080000</v>
      </c>
      <c r="L86" s="14">
        <f>SUM(L9:L84)</f>
        <v>7519319</v>
      </c>
      <c r="M86" s="14">
        <f>SUM(M9:M84)</f>
        <v>0</v>
      </c>
      <c r="N86" s="14">
        <f>SUM(N9:N84)</f>
        <v>0</v>
      </c>
      <c r="O86" s="14">
        <f>SUM(O9:O84)</f>
        <v>0</v>
      </c>
      <c r="P86" s="14">
        <f>SUM(P9:P84)</f>
        <v>10161243</v>
      </c>
      <c r="Q86" s="14">
        <f>SUM(Q9:Q84)</f>
        <v>14581383.705</v>
      </c>
      <c r="R86" s="14">
        <f>SUM(R9:R84)</f>
        <v>5080621.5</v>
      </c>
      <c r="S86" s="14">
        <f>SUM(S9:S84)</f>
        <v>370470025</v>
      </c>
      <c r="T86" s="14">
        <f>SUM(T9:T84)</f>
        <v>48161101</v>
      </c>
      <c r="U86" s="14">
        <f>SUM(U9:U84)</f>
        <v>0</v>
      </c>
      <c r="V86" s="14">
        <f>SUM(V9:V84)</f>
        <v>0</v>
      </c>
      <c r="W86" s="14">
        <f>SUM(W9:W84)</f>
        <v>0</v>
      </c>
      <c r="X86" s="14">
        <f>SUM(X9:X84)</f>
        <v>0</v>
      </c>
      <c r="Y86" s="14">
        <f>SUM(Y9:Y84)</f>
        <v>0</v>
      </c>
      <c r="Z86" s="15">
        <f>SUM(Z9:Z84)</f>
        <v>418631126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2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- Web - Android</dc:creator>
  <cp:lastModifiedBy>Maurice - Web - Android</cp:lastModifiedBy>
  <dcterms:created xsi:type="dcterms:W3CDTF">2025-12-20T08:32:56+07:00</dcterms:created>
  <dcterms:modified xsi:type="dcterms:W3CDTF">2025-12-20T08:32:56+07:00</dcterms:modified>
  <dc:title>Office 2007 XLSX Test Document</dc:title>
  <dc:description>Generated using PhpSpreadsheet (CI4)</dc:description>
  <dc:subject>Office 2007 XLSX Test Document</dc:subject>
  <cp:keywords>office 2007 openxml php</cp:keywords>
  <cp:category>Export Invoice</cp:category>
</cp:coreProperties>
</file>