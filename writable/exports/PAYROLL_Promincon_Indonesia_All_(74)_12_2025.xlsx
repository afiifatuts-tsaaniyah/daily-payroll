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73" autoFilterDateGrouping="true" firstSheet="0" minimized="false" showHorizontalScroll="true" showSheetTabs="true" showVerticalScroll="true" tabRatio="600" visibility="visible"/>
  </bookViews>
  <sheets>
    <sheet name="Agus Ahir Hasibuan" sheetId="1" r:id="rId4"/>
    <sheet name="Ahmad Fauzi Hasibuan" sheetId="2" r:id="rId5"/>
    <sheet name="Ahmad Juandi Nasution" sheetId="3" r:id="rId6"/>
    <sheet name="Ali Agusran Harahap" sheetId="4" r:id="rId7"/>
    <sheet name="Ali Usron Siregar" sheetId="5" r:id="rId8"/>
    <sheet name="Ali Wardana" sheetId="6" r:id="rId9"/>
    <sheet name="Alihot" sheetId="7" r:id="rId10"/>
    <sheet name="Amin Siregar" sheetId="8" r:id="rId11"/>
    <sheet name="Amir Husin" sheetId="9" r:id="rId12"/>
    <sheet name="Ammar Ansori Panjaitan" sheetId="10" r:id="rId13"/>
    <sheet name="Amoi Sani Samosir" sheetId="11" r:id="rId14"/>
    <sheet name="Amran Nasution" sheetId="12" r:id="rId15"/>
    <sheet name="Andes Putra Tunggal" sheetId="13" r:id="rId16"/>
    <sheet name="Ardiansah Siregar" sheetId="14" r:id="rId17"/>
    <sheet name="Ardiansyah Lubis" sheetId="15" r:id="rId18"/>
    <sheet name="Ardin Sormin" sheetId="16" r:id="rId19"/>
    <sheet name="Arlin Frengki Sihombing" sheetId="17" r:id="rId20"/>
    <sheet name="Arnold" sheetId="18" r:id="rId21"/>
    <sheet name="Berkat Jaya Zebua" sheetId="19" r:id="rId22"/>
    <sheet name="Daud Halomoan" sheetId="20" r:id="rId23"/>
    <sheet name="Dedi Santo Zebua" sheetId="21" r:id="rId24"/>
    <sheet name="Dodi Syaputra" sheetId="22" r:id="rId25"/>
    <sheet name="Doli Saputra Batubara" sheetId="23" r:id="rId26"/>
    <sheet name="Erdianto" sheetId="24" r:id="rId27"/>
    <sheet name="Erwin Syaputra Lubis" sheetId="25" r:id="rId28"/>
    <sheet name="Fauzi Hamonangan Sibuea" sheetId="26" r:id="rId29"/>
    <sheet name="Feri Hidayat" sheetId="27" r:id="rId30"/>
    <sheet name="Heldiansyah Panggabean" sheetId="28" r:id="rId31"/>
    <sheet name="Hendri Fitriadi Sagala" sheetId="29" r:id="rId32"/>
    <sheet name="Hendri Saputra" sheetId="30" r:id="rId33"/>
    <sheet name="Heri Hamjah" sheetId="31" r:id="rId34"/>
    <sheet name="Ikhwan Amin Pardede" sheetId="32" r:id="rId35"/>
    <sheet name="Ismail Sihombing" sheetId="33" r:id="rId36"/>
    <sheet name="Jamaluddin Pane" sheetId="34" r:id="rId37"/>
    <sheet name="Jumalin" sheetId="35" r:id="rId38"/>
    <sheet name="Khoirul Anwar Siregar" sheetId="36" r:id="rId39"/>
    <sheet name="Magrib Efendi Batu Bara" sheetId="37" r:id="rId40"/>
    <sheet name="Mandala Putra Hasibuan" sheetId="38" r:id="rId41"/>
    <sheet name="Marali Tua Simanungkalit" sheetId="39" r:id="rId42"/>
    <sheet name="Mardianto Rambe" sheetId="40" r:id="rId43"/>
    <sheet name="Mardiyanto" sheetId="41" r:id="rId44"/>
    <sheet name="Maria Simatupang" sheetId="42" r:id="rId45"/>
    <sheet name="Marlinus Waruhu" sheetId="43" r:id="rId46"/>
    <sheet name="Marwan Efendi" sheetId="44" r:id="rId47"/>
    <sheet name="Masriadi Galingging" sheetId="45" r:id="rId48"/>
    <sheet name="Miserrianus" sheetId="46" r:id="rId49"/>
    <sheet name="Muhammad Febrian Kosasih" sheetId="47" r:id="rId50"/>
    <sheet name="Muhammad Ifan" sheetId="48" r:id="rId51"/>
    <sheet name="Muhammad Rizal Siregar" sheetId="49" r:id="rId52"/>
    <sheet name="Muliadi" sheetId="50" r:id="rId53"/>
    <sheet name="Pardamean Lubis" sheetId="51" r:id="rId54"/>
    <sheet name="Rahmad Diki Harahap" sheetId="52" r:id="rId55"/>
    <sheet name="Rahmadsyah Siregar" sheetId="53" r:id="rId56"/>
    <sheet name="Redi Robert Siahaan" sheetId="54" r:id="rId57"/>
    <sheet name="Ridoan Siregar" sheetId="55" r:id="rId58"/>
    <sheet name="Riduwan Nainggolan" sheetId="56" r:id="rId59"/>
    <sheet name="Rito Siregar" sheetId="57" r:id="rId60"/>
    <sheet name="Ronaldo Simamora" sheetId="58" r:id="rId61"/>
    <sheet name="Ruth Lamey Marlina Pasaribu" sheetId="59" r:id="rId62"/>
    <sheet name="Sabarudin Pohan" sheetId="60" r:id="rId63"/>
    <sheet name="Saedar Mulia Lubis" sheetId="61" r:id="rId64"/>
    <sheet name="Sahlan Harahap" sheetId="62" r:id="rId65"/>
    <sheet name="Saut Halomoan Rambe" sheetId="63" r:id="rId66"/>
    <sheet name="Saut Pardamean Pulungan" sheetId="64" r:id="rId67"/>
    <sheet name="Stepan Dearmon Zebua" sheetId="65" r:id="rId68"/>
    <sheet name="Suar Efendi" sheetId="66" r:id="rId69"/>
    <sheet name="Suparmin" sheetId="67" r:id="rId70"/>
    <sheet name="Surya Agustus Silalahi" sheetId="68" r:id="rId71"/>
    <sheet name="Triadi Saputra" sheetId="69" r:id="rId72"/>
    <sheet name="Viki Candra Siregar" sheetId="70" r:id="rId73"/>
    <sheet name="Wahyudi" sheetId="71" r:id="rId74"/>
    <sheet name="Wahyudi Amanda" sheetId="72" r:id="rId75"/>
    <sheet name="Welda Herman Lubis" sheetId="73" r:id="rId76"/>
    <sheet name="Zainal Arifin Hasibuan" sheetId="74" r:id="rId77"/>
    <sheet name="Worksheet" sheetId="75" r:id="rId7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<sst xmlns="http://schemas.openxmlformats.org/spreadsheetml/2006/main" uniqueCount="383">
  <si>
    <t>PT. SANGATI SOERYA SEJAHTERA</t>
  </si>
  <si>
    <t>Slip Gaji Karyawan</t>
  </si>
  <si>
    <t>PT : Promincon Indonesia</t>
  </si>
  <si>
    <t>NAMA</t>
  </si>
  <si>
    <t>Agus Ahir Hasibuan</t>
  </si>
  <si>
    <t>Id</t>
  </si>
  <si>
    <t>Periode : 16-11-2025 to 15-12-2025</t>
  </si>
  <si>
    <t>JABATAN</t>
  </si>
  <si>
    <t>Drilling Crew 733</t>
  </si>
  <si>
    <t xml:space="preserve">DEPT </t>
  </si>
  <si>
    <t>PMC - Martabe</t>
  </si>
  <si>
    <t>DATE</t>
  </si>
  <si>
    <t>ROSTER DAY</t>
  </si>
  <si>
    <t>SHIFT DAY</t>
  </si>
  <si>
    <t>HOURS TOTAL</t>
  </si>
  <si>
    <t>NT</t>
  </si>
  <si>
    <t>OVERTIME</t>
  </si>
  <si>
    <t>GAJI POKOK</t>
  </si>
  <si>
    <t>STATUS</t>
  </si>
  <si>
    <t>K0</t>
  </si>
  <si>
    <t>Base   : 52</t>
  </si>
  <si>
    <t>RATE/HOUR</t>
  </si>
  <si>
    <t>NPWP</t>
  </si>
  <si>
    <t>-</t>
  </si>
  <si>
    <t>Format : 90-19-02-09</t>
  </si>
  <si>
    <t>NS</t>
  </si>
  <si>
    <t>Upah</t>
  </si>
  <si>
    <t>OT 1</t>
  </si>
  <si>
    <t>10.0 x 1.5 x 19,578.50 = Rp.</t>
  </si>
  <si>
    <t>OT 2</t>
  </si>
  <si>
    <t>30.0 x 2.0 x 19,578.50 = Rp.</t>
  </si>
  <si>
    <t>OT 3</t>
  </si>
  <si>
    <t>0.0 x 3.0 x 19,578.50 = Rp.</t>
  </si>
  <si>
    <t>OT 4</t>
  </si>
  <si>
    <t>0.0 x 4.0 x 19,578.50 = Rp.</t>
  </si>
  <si>
    <t>OT TOTAL</t>
  </si>
  <si>
    <t>Tunjangan Kehadiran</t>
  </si>
  <si>
    <t>10 Hari</t>
  </si>
  <si>
    <t>Tunjangan Transport</t>
  </si>
  <si>
    <t>RO</t>
  </si>
  <si>
    <t>Tunjangan Shift Malam</t>
  </si>
  <si>
    <t>Tunjangan</t>
  </si>
  <si>
    <t>THR</t>
  </si>
  <si>
    <t>BONUS TOTAL</t>
  </si>
  <si>
    <t>JKK &amp; JKM(2.04%)</t>
  </si>
  <si>
    <t>Iuran BPJS Kesehatan(4%)</t>
  </si>
  <si>
    <t>Potongan Absensi 0 Hari</t>
  </si>
  <si>
    <t>Adjustment In</t>
  </si>
  <si>
    <t>Adjustment Out</t>
  </si>
  <si>
    <t>TOTAL KOTOR</t>
  </si>
  <si>
    <t>Pajak Penghasilan</t>
  </si>
  <si>
    <t>A</t>
  </si>
  <si>
    <t>0.00%</t>
  </si>
  <si>
    <t>Iuran JHT BPJS TK(2%)</t>
  </si>
  <si>
    <t>Iuran BPJS Kesehatan(1%)</t>
  </si>
  <si>
    <t>Iuran JP TK(1%)</t>
  </si>
  <si>
    <t>Potong Pajak</t>
  </si>
  <si>
    <t>TOTAL</t>
  </si>
  <si>
    <t>TOTAL OT</t>
  </si>
  <si>
    <t>Adj</t>
  </si>
  <si>
    <t>Beban Hutang</t>
  </si>
  <si>
    <t>Pembulatan</t>
  </si>
  <si>
    <t>TOTAL TERIMA</t>
  </si>
  <si>
    <t>Dibayarkan Oleh</t>
  </si>
  <si>
    <t>Payroll/ Accounting</t>
  </si>
  <si>
    <t>Diterima Oleh Karyawan</t>
  </si>
  <si>
    <t>MANDIRI : 1830006307523</t>
  </si>
  <si>
    <t>Ahmad Fauzi Hasibuan</t>
  </si>
  <si>
    <t>Drilling Crew 703</t>
  </si>
  <si>
    <t>K2</t>
  </si>
  <si>
    <t>Format : 14-12-25-87</t>
  </si>
  <si>
    <t>12.0 x 1.5 x 19,578.50 = Rp.</t>
  </si>
  <si>
    <t>36.0 x 2.0 x 19,578.50 = Rp.</t>
  </si>
  <si>
    <t>12 Hari</t>
  </si>
  <si>
    <t>11 Hari</t>
  </si>
  <si>
    <t>B</t>
  </si>
  <si>
    <t>MANDIRI : 1830006290265</t>
  </si>
  <si>
    <t>Ahmad Juandi Nasution</t>
  </si>
  <si>
    <t>TK0</t>
  </si>
  <si>
    <t>Format : 08-24-88</t>
  </si>
  <si>
    <t>0 Hari</t>
  </si>
  <si>
    <t>BRI : 533001020055534</t>
  </si>
  <si>
    <t>Ali Agusran Harahap</t>
  </si>
  <si>
    <t>Drilling Crew 741</t>
  </si>
  <si>
    <t>Format : 89-09-04</t>
  </si>
  <si>
    <t>8.0 x 1.5 x 19,578.50 = Rp.</t>
  </si>
  <si>
    <t>24.0 x 2.0 x 19,578.50 = Rp.</t>
  </si>
  <si>
    <t>8 Hari</t>
  </si>
  <si>
    <t>BRI : 338401025528539</t>
  </si>
  <si>
    <t>Ali Usron Siregar</t>
  </si>
  <si>
    <t>Drilling Crew 714</t>
  </si>
  <si>
    <t>Format : 07-44-77-10</t>
  </si>
  <si>
    <t>BRI : 338401042828538</t>
  </si>
  <si>
    <t>Ali Wardana</t>
  </si>
  <si>
    <t>Format : 06-53-79</t>
  </si>
  <si>
    <t>BRI : 338401045384538</t>
  </si>
  <si>
    <t>Alihot</t>
  </si>
  <si>
    <t>Format : 19-09-02-18</t>
  </si>
  <si>
    <t>2.0 x 1.5 x 19,578.50 = Rp.</t>
  </si>
  <si>
    <t>6.0 x 2.0 x 19,578.50 = Rp.</t>
  </si>
  <si>
    <t>2 Hari</t>
  </si>
  <si>
    <t>1 Hari</t>
  </si>
  <si>
    <t>BRI : 334301004179505</t>
  </si>
  <si>
    <t>Amin Siregar</t>
  </si>
  <si>
    <t>Format : 06-39-09-03</t>
  </si>
  <si>
    <t>3.0 x 1.5 x 19,578.50 = Rp.</t>
  </si>
  <si>
    <t>9.0 x 2.0 x 19,578.50 = Rp.</t>
  </si>
  <si>
    <t>3 Hari</t>
  </si>
  <si>
    <t>MANDIRI : 1830006307655</t>
  </si>
  <si>
    <t>Amir Husin</t>
  </si>
  <si>
    <t>Drilling Crew 704</t>
  </si>
  <si>
    <t>BRI : 338401016643504</t>
  </si>
  <si>
    <t>Ammar Ansori Panjaitan</t>
  </si>
  <si>
    <t>Assistant Mechanic</t>
  </si>
  <si>
    <t>K1</t>
  </si>
  <si>
    <t>Format : 14-62-69-02</t>
  </si>
  <si>
    <t>13.0 x 1.5 x 19,578.50 = Rp.</t>
  </si>
  <si>
    <t>39.0 x 2.0 x 19,578.50 = Rp.</t>
  </si>
  <si>
    <t>13 Hari</t>
  </si>
  <si>
    <t>MANDIRI : 1830006307499</t>
  </si>
  <si>
    <t>Amoi Sani Samosir</t>
  </si>
  <si>
    <t>Cleaning Service</t>
  </si>
  <si>
    <t>Format : 01-11-32-14-31-62-13-10</t>
  </si>
  <si>
    <t>16.0 x 1.5 x 19,578.50 = Rp.</t>
  </si>
  <si>
    <t>0.0 x 2.0 x 19,578.50 = Rp.</t>
  </si>
  <si>
    <t>16 Hari</t>
  </si>
  <si>
    <t>BRI : 537301014780535</t>
  </si>
  <si>
    <t>Amran Nasution</t>
  </si>
  <si>
    <t>K3</t>
  </si>
  <si>
    <t>Format : 01-43-34-72-23-10</t>
  </si>
  <si>
    <t>17.0 x 1.5 x 19,578.50 = Rp.</t>
  </si>
  <si>
    <t>51.0 x 2.0 x 19,578.50 = Rp.</t>
  </si>
  <si>
    <t>17 Hari</t>
  </si>
  <si>
    <t>4 Hari</t>
  </si>
  <si>
    <t>C</t>
  </si>
  <si>
    <t>BRI : 013501076278503</t>
  </si>
  <si>
    <t>Andes Putra Tunggal</t>
  </si>
  <si>
    <t>Welder</t>
  </si>
  <si>
    <t>Format : 39-04-77</t>
  </si>
  <si>
    <t>MANDIRI : 1830006307481</t>
  </si>
  <si>
    <t>Ardiansah Siregar</t>
  </si>
  <si>
    <t>Format : 31-31-90-74-11</t>
  </si>
  <si>
    <t>23.0 x 1.5 x 19,578.50 = Rp.</t>
  </si>
  <si>
    <t>69.0 x 2.0 x 19,578.50 = Rp.</t>
  </si>
  <si>
    <t>23 Hari</t>
  </si>
  <si>
    <t>1.50%</t>
  </si>
  <si>
    <t>MANDIRI : 1830006306558</t>
  </si>
  <si>
    <t>Ardiansyah Lubis</t>
  </si>
  <si>
    <t>Format : 07-29-05-70</t>
  </si>
  <si>
    <t>9.0 x 1.5 x 19,578.50 = Rp.</t>
  </si>
  <si>
    <t>27.0 x 2.0 x 19,578.50 = Rp.</t>
  </si>
  <si>
    <t>9 Hari</t>
  </si>
  <si>
    <t>7 Hari</t>
  </si>
  <si>
    <t>MANDIRI : 1830006293756</t>
  </si>
  <si>
    <t>Ardin Sormin</t>
  </si>
  <si>
    <t>MANDIRI : 1830006307879</t>
  </si>
  <si>
    <t>Arlin Frengki Sihombing</t>
  </si>
  <si>
    <t>Format : 90-19-09-02</t>
  </si>
  <si>
    <t>BRI : 533001022130534</t>
  </si>
  <si>
    <t>Arnold</t>
  </si>
  <si>
    <t>Drilling Crew 734</t>
  </si>
  <si>
    <t>Format : 08-90-90-40</t>
  </si>
  <si>
    <t>22.0 x 1.5 x 19,578.50 = Rp.</t>
  </si>
  <si>
    <t>66.0 x 2.0 x 19,578.50 = Rp.</t>
  </si>
  <si>
    <t>22 Hari</t>
  </si>
  <si>
    <t>1.00%</t>
  </si>
  <si>
    <t>MANDIRI : 1830006307358</t>
  </si>
  <si>
    <t>Berkat Jaya Zebua</t>
  </si>
  <si>
    <t>Format : 90-13-89</t>
  </si>
  <si>
    <t>18.0 x 1.5 x 19,578.50 = Rp.</t>
  </si>
  <si>
    <t>54.0 x 2.0 x 19,578.50 = Rp.</t>
  </si>
  <si>
    <t>18 Hari</t>
  </si>
  <si>
    <t>BRI : 338401047280531</t>
  </si>
  <si>
    <t>Daud Halomoan</t>
  </si>
  <si>
    <t>Format : 90-39-03-60</t>
  </si>
  <si>
    <t>0.75%</t>
  </si>
  <si>
    <t>BRI : 533001009502508</t>
  </si>
  <si>
    <t>Dedi Santo Zebua</t>
  </si>
  <si>
    <t>Format : 90-90-46-11</t>
  </si>
  <si>
    <t>MANDIRI : 1830006290356</t>
  </si>
  <si>
    <t>Dodi Syaputra</t>
  </si>
  <si>
    <t>Format : 09-12-19-08</t>
  </si>
  <si>
    <t>MANDIRI : 1830006293319</t>
  </si>
  <si>
    <t>Doli Saputra Batubara</t>
  </si>
  <si>
    <t>Format : 59-01-21-21-90</t>
  </si>
  <si>
    <t>5 Hari</t>
  </si>
  <si>
    <t>0.25%</t>
  </si>
  <si>
    <t>MANDIRI : 1830005865935</t>
  </si>
  <si>
    <t>Erdianto</t>
  </si>
  <si>
    <t>Security</t>
  </si>
  <si>
    <t>Format : 46-90-36-20</t>
  </si>
  <si>
    <t>MANDIRI : 1830006296627</t>
  </si>
  <si>
    <t>Erwin Syaputra Lubis</t>
  </si>
  <si>
    <t>Format : 69-09-06</t>
  </si>
  <si>
    <t>6.0 x 1.5 x 19,578.50 = Rp.</t>
  </si>
  <si>
    <t>18.0 x 2.0 x 19,578.50 = Rp.</t>
  </si>
  <si>
    <t>6 Hari</t>
  </si>
  <si>
    <t>BRI : 338401047183535</t>
  </si>
  <si>
    <t>Fauzi Hamonangan Sibuea</t>
  </si>
  <si>
    <t>MANDIRI : 1830006290752</t>
  </si>
  <si>
    <t>Feri Hidayat</t>
  </si>
  <si>
    <t>Format : 05-90-90-70</t>
  </si>
  <si>
    <t>25.0 x 1.5 x 19,578.50 = Rp.</t>
  </si>
  <si>
    <t>75.0 x 2.0 x 19,578.50 = Rp.</t>
  </si>
  <si>
    <t>25 Hari</t>
  </si>
  <si>
    <t>MANDIRI : 1830006307416</t>
  </si>
  <si>
    <t>Heldiansyah Panggabean</t>
  </si>
  <si>
    <t>Format : 90-90-29-01</t>
  </si>
  <si>
    <t>20.0 x 1.5 x 19,578.50 = Rp.</t>
  </si>
  <si>
    <t>60.0 x 2.0 x 19,578.50 = Rp.</t>
  </si>
  <si>
    <t>20 Hari</t>
  </si>
  <si>
    <t>19 Hari</t>
  </si>
  <si>
    <t>1.25%</t>
  </si>
  <si>
    <t>BRI : 533001021917535</t>
  </si>
  <si>
    <t>Hendri Fitriadi Sagala</t>
  </si>
  <si>
    <t>Format : 81-12-29-07</t>
  </si>
  <si>
    <t>11.0 x 1.5 x 19,578.50 = Rp.</t>
  </si>
  <si>
    <t>33.0 x 2.0 x 19,578.50 = Rp.</t>
  </si>
  <si>
    <t>MANDIRI : 1830006290539</t>
  </si>
  <si>
    <t>Hendri Saputra</t>
  </si>
  <si>
    <t>Electrician</t>
  </si>
  <si>
    <t>Format : 06-90-90-51</t>
  </si>
  <si>
    <t>MANDIRI : 1830006307366</t>
  </si>
  <si>
    <t>Heri Hamjah</t>
  </si>
  <si>
    <t>Format : 99-09-03</t>
  </si>
  <si>
    <t>MANDIRI : 1830006306749</t>
  </si>
  <si>
    <t>Ikhwan Amin Pardede</t>
  </si>
  <si>
    <t>MANDIRI : 1830006307440</t>
  </si>
  <si>
    <t>Ismail Sihombing</t>
  </si>
  <si>
    <t>Format : 90-23-88</t>
  </si>
  <si>
    <t>19.0 x 1.5 x 19,578.50 = Rp.</t>
  </si>
  <si>
    <t>57.0 x 2.0 x 19,578.50 = Rp.</t>
  </si>
  <si>
    <t>BRI : 013501092280504</t>
  </si>
  <si>
    <t>Jamaluddin Pane</t>
  </si>
  <si>
    <t>Format : 81-21-39-11-40</t>
  </si>
  <si>
    <t>MANDIRI : 1830006289945</t>
  </si>
  <si>
    <t>Jumalin</t>
  </si>
  <si>
    <t>Format : 79-09-05</t>
  </si>
  <si>
    <t>7.0 x 1.5 x 19,578.50 = Rp.</t>
  </si>
  <si>
    <t>21.0 x 2.0 x 19,578.50 = Rp.</t>
  </si>
  <si>
    <t>BRI : 533801035867538</t>
  </si>
  <si>
    <t>Khoirul Anwar Siregar</t>
  </si>
  <si>
    <t>Format : 59-04-90-30</t>
  </si>
  <si>
    <t>MANDIRI : 1830005879340</t>
  </si>
  <si>
    <t>Magrib Efendi Batu Bara</t>
  </si>
  <si>
    <t>Format : 89-07-60</t>
  </si>
  <si>
    <t>14.0 x 1.5 x 19,578.50 = Rp.</t>
  </si>
  <si>
    <t>42.0 x 2.0 x 19,578.50 = Rp.</t>
  </si>
  <si>
    <t>14 Hari</t>
  </si>
  <si>
    <t>BRI : 533001017285530</t>
  </si>
  <si>
    <t>Mandala Putra Hasibuan</t>
  </si>
  <si>
    <t>Format : 90-23-79</t>
  </si>
  <si>
    <t>BRI : 013501095070500</t>
  </si>
  <si>
    <t>Marali Tua Simanungkalit</t>
  </si>
  <si>
    <t>Format : 07-44-76-20</t>
  </si>
  <si>
    <t>BRI : 013501031706533</t>
  </si>
  <si>
    <t>Mardianto Rambe</t>
  </si>
  <si>
    <t>Format : 90-29-09-01</t>
  </si>
  <si>
    <t>BRI : 338401046383530</t>
  </si>
  <si>
    <t>Mardiyanto</t>
  </si>
  <si>
    <t>Format : 84-90-18</t>
  </si>
  <si>
    <t>MANDIRI : 1830006307374</t>
  </si>
  <si>
    <t>Maria Simatupang</t>
  </si>
  <si>
    <t>MUD Control</t>
  </si>
  <si>
    <t>Format : 01-21-22-25-21-22-17</t>
  </si>
  <si>
    <t>BRI : 013501047972504</t>
  </si>
  <si>
    <t>Marlinus Waruhu</t>
  </si>
  <si>
    <t>Format : 90-69-06</t>
  </si>
  <si>
    <t>15.0 x 1.5 x 19,578.50 = Rp.</t>
  </si>
  <si>
    <t>45.0 x 2.0 x 19,578.50 = Rp.</t>
  </si>
  <si>
    <t>15 Hari</t>
  </si>
  <si>
    <t>BRI : 008501058832508</t>
  </si>
  <si>
    <t>Marwan Efendi</t>
  </si>
  <si>
    <t>Format : 05-19-09-06</t>
  </si>
  <si>
    <t>1.0 x 1.5 x 19,578.50 = Rp.</t>
  </si>
  <si>
    <t>3.0 x 2.0 x 19,578.50 = Rp.</t>
  </si>
  <si>
    <t>MANDIRI : 1830006307267</t>
  </si>
  <si>
    <t>Masriadi Galingging</t>
  </si>
  <si>
    <t>Drilling Crew</t>
  </si>
  <si>
    <t>Format : 90-23-69-01</t>
  </si>
  <si>
    <t>1.75%</t>
  </si>
  <si>
    <t>BRI : 533001034083537</t>
  </si>
  <si>
    <t>Miserrianus</t>
  </si>
  <si>
    <t>Format : 09-24-76-20</t>
  </si>
  <si>
    <t>BRI : 338401046968534</t>
  </si>
  <si>
    <t>Muhammad Febrian Kosasih</t>
  </si>
  <si>
    <t>Crew Loading Point</t>
  </si>
  <si>
    <t>Format : 43-43-43-27</t>
  </si>
  <si>
    <t>MANDIRI : 1830006034218</t>
  </si>
  <si>
    <t>Muhammad Ifan</t>
  </si>
  <si>
    <t>Format : 05-54-78-10</t>
  </si>
  <si>
    <t>BRI : 013501080278503</t>
  </si>
  <si>
    <t>Muhammad Rizal Siregar</t>
  </si>
  <si>
    <t>Format : 03-90-61-56</t>
  </si>
  <si>
    <t>0.50%</t>
  </si>
  <si>
    <t>BRI : 533001005383538</t>
  </si>
  <si>
    <t>Muliadi</t>
  </si>
  <si>
    <t>Format : 01-89-09-03</t>
  </si>
  <si>
    <t>MANDIRI : 1830006307291</t>
  </si>
  <si>
    <t>Pardamean Lubis</t>
  </si>
  <si>
    <t>Format : 08-29-09-02</t>
  </si>
  <si>
    <t>MANDIRI : 1830006306772</t>
  </si>
  <si>
    <t>Rahmad Diki Harahap</t>
  </si>
  <si>
    <t>Format : 07-49-03-70</t>
  </si>
  <si>
    <t>BRI : 533001043861532</t>
  </si>
  <si>
    <t>Rahmadsyah Siregar</t>
  </si>
  <si>
    <t>Format : 99-90-30</t>
  </si>
  <si>
    <t>21.0 x 1.5 x 19,578.50 = Rp.</t>
  </si>
  <si>
    <t>63.0 x 2.0 x 19,578.50 = Rp.</t>
  </si>
  <si>
    <t>21 Hari</t>
  </si>
  <si>
    <t>BRI : 533001008068535</t>
  </si>
  <si>
    <t>Redi Robert Siahaan</t>
  </si>
  <si>
    <t>Format : 09-01-90-90-20</t>
  </si>
  <si>
    <t>BRI : 533001014388509</t>
  </si>
  <si>
    <t>Ridoan Siregar</t>
  </si>
  <si>
    <t>Format : 08-29-04-70</t>
  </si>
  <si>
    <t>MANDIRI : 1830006290430</t>
  </si>
  <si>
    <t>Riduwan Nainggolan</t>
  </si>
  <si>
    <t>Format : 90-90-90-30</t>
  </si>
  <si>
    <t>30.0 x 1.5 x 19,578.50 = Rp.</t>
  </si>
  <si>
    <t>90.0 x 2.0 x 19,578.50 = Rp.</t>
  </si>
  <si>
    <t>30 Hari</t>
  </si>
  <si>
    <t>MANDIRI : 1830006307820</t>
  </si>
  <si>
    <t>Rito Siregar</t>
  </si>
  <si>
    <t>Format : 02-92-89</t>
  </si>
  <si>
    <t>BRI : 338401046969530</t>
  </si>
  <si>
    <t>Ronaldo Simamora</t>
  </si>
  <si>
    <t>Format : 04-64-55-33</t>
  </si>
  <si>
    <t>46.0 x 2.0 x 19,578.50 = Rp.</t>
  </si>
  <si>
    <t>BNI : 1994178803</t>
  </si>
  <si>
    <t>Ruth Lamey Marlina Pasaribu</t>
  </si>
  <si>
    <t>Format : 01-22-12-21-22-22-19-01</t>
  </si>
  <si>
    <t>BRI : 533001017237537</t>
  </si>
  <si>
    <t>Sabarudin Pohan</t>
  </si>
  <si>
    <t>Format : 45-24-76-20</t>
  </si>
  <si>
    <t>BRI : 338401047522535</t>
  </si>
  <si>
    <t>Saedar Mulia Lubis</t>
  </si>
  <si>
    <t>Format : 05-55-87</t>
  </si>
  <si>
    <t>MANDIRI : 1830006307515</t>
  </si>
  <si>
    <t>Sahlan Harahap</t>
  </si>
  <si>
    <t>Format : 25-34-79</t>
  </si>
  <si>
    <t>BRI : 013501089253500</t>
  </si>
  <si>
    <t>Saut Halomoan Rambe</t>
  </si>
  <si>
    <t>Format : 83-19-05-40</t>
  </si>
  <si>
    <t>MANDIRI : 1830006307424</t>
  </si>
  <si>
    <t>Saut Pardamean Pulungan</t>
  </si>
  <si>
    <t>Format : 06-29-09-13</t>
  </si>
  <si>
    <t>MANDIRI : 1830006616162</t>
  </si>
  <si>
    <t>Stepan Dearmon Zebua</t>
  </si>
  <si>
    <t>Format : 01-42-32-39-06</t>
  </si>
  <si>
    <t>MANDIRI : 1830006296643</t>
  </si>
  <si>
    <t>Suar Efendi</t>
  </si>
  <si>
    <t>Format : 04-32-90-18-30</t>
  </si>
  <si>
    <t>48.0 x 2.0 x 19,578.50 = Rp.</t>
  </si>
  <si>
    <t>MANDIRI : 1830005876239</t>
  </si>
  <si>
    <t>Suparmin</t>
  </si>
  <si>
    <t>Masinis</t>
  </si>
  <si>
    <t>Format : 01-90-90-61-12-10</t>
  </si>
  <si>
    <t>26.0 x 1.5 x 19,578.50 = Rp.</t>
  </si>
  <si>
    <t>78.0 x 2.0 x 19,578.50 = Rp.</t>
  </si>
  <si>
    <t>26 Hari</t>
  </si>
  <si>
    <t>BRI : 533001024163533</t>
  </si>
  <si>
    <t>Surya Agustus Silalahi</t>
  </si>
  <si>
    <t>Format : 05-90-29-01-40</t>
  </si>
  <si>
    <t>MANDIRI : 1830006290224</t>
  </si>
  <si>
    <t>Triadi Saputra</t>
  </si>
  <si>
    <t>Format : 02-79-09-03</t>
  </si>
  <si>
    <t>BRI : 338401047499538</t>
  </si>
  <si>
    <t>Viki Candra Siregar</t>
  </si>
  <si>
    <t>Crew Drilling</t>
  </si>
  <si>
    <t>Format : 09-09-06-60</t>
  </si>
  <si>
    <t>BRI : 533001013681530</t>
  </si>
  <si>
    <t>Wahyudi</t>
  </si>
  <si>
    <t>BRI : 013501091543501</t>
  </si>
  <si>
    <t>Wahyudi Amanda</t>
  </si>
  <si>
    <t>Format : 90-22-32-19-11</t>
  </si>
  <si>
    <t>BRI : 533001013521536</t>
  </si>
  <si>
    <t>Welda Herman Lubis</t>
  </si>
  <si>
    <t>Format : 26-24-79</t>
  </si>
  <si>
    <t>BRI : 013501032298533</t>
  </si>
  <si>
    <t>Zainal Arifin Hasibuan</t>
  </si>
  <si>
    <t>Format : 01-41-97-62</t>
  </si>
  <si>
    <t>MANDIRI : 1830006307283</t>
  </si>
</sst>
</file>

<file path=xl/styles.xml><?xml version="1.0" encoding="utf-8"?>
<styleSheet xmlns="http://schemas.openxmlformats.org/spreadsheetml/2006/main" xml:space="preserve">
  <numFmts count="0"/>
  <fonts count="9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singl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0"/>
      <i val="0"/>
      <strike val="0"/>
      <u val="none"/>
      <sz val="13"/>
      <color rgb="FF000000"/>
      <name val="Calibri"/>
    </font>
    <font>
      <b val="1"/>
      <i val="0"/>
      <strike val="0"/>
      <u val="none"/>
      <sz val="13"/>
      <color rgb="FF0000FF"/>
      <name val="Calibri"/>
    </font>
    <font>
      <b val="0"/>
      <i val="1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0">
    <border/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top style="thin">
        <color rgb="00000000"/>
      </top>
    </border>
    <border>
      <left style="thin">
        <color rgb="00000000"/>
      </left>
      <top style="thin">
        <color rgb="00000000"/>
      </top>
    </border>
    <border>
      <left style="thin">
        <color rgb="00000000"/>
      </left>
    </border>
    <border>
      <left style="thin">
        <color rgb="00000000"/>
      </left>
      <bottom style="thin">
        <color rgb="00000000"/>
      </bottom>
    </border>
    <border>
      <bottom style="thin">
        <color rgb="00000000"/>
      </bottom>
    </border>
    <border>
      <right style="thin">
        <color rgb="00000000"/>
      </right>
      <top style="thin">
        <color rgb="00000000"/>
      </top>
    </border>
    <border>
      <right style="thin">
        <color rgb="00000000"/>
      </right>
    </border>
    <border>
      <right style="thin">
        <color rgb="00000000"/>
      </right>
      <bottom style="thin">
        <color rgb="00000000"/>
      </bottom>
    </border>
  </borders>
  <cellStyleXfs count="1">
    <xf numFmtId="0" fontId="0" fillId="0" borderId="0"/>
  </cellStyleXfs>
  <cellXfs count="3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right" vertical="center" textRotation="0" wrapText="false" shrinkToFit="false"/>
    </xf>
    <xf xfId="0" fontId="5" numFmtId="0" fillId="0" borderId="1" applyFont="1" applyNumberFormat="0" applyFill="0" applyBorder="1" applyAlignment="1">
      <alignment horizontal="left" vertical="center" textRotation="0" wrapText="false" shrinkToFit="false"/>
    </xf>
    <xf xfId="0" fontId="5" numFmtId="0" fillId="0" borderId="1" applyFont="1" applyNumberFormat="0" applyFill="0" applyBorder="1" applyAlignment="0">
      <alignment horizontal="general" vertical="bottom" textRotation="0" wrapText="false" shrinkToFit="false"/>
    </xf>
    <xf xfId="0" fontId="5" numFmtId="0" fillId="0" borderId="1" applyFont="1" applyNumberFormat="0" applyFill="0" applyBorder="1" applyAlignment="1">
      <alignment horizontal="right" vertical="center" textRotation="0" wrapText="fals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0">
      <alignment horizontal="general" vertical="bottom" textRotation="0" wrapText="false" shrinkToFit="false"/>
    </xf>
    <xf xfId="0" fontId="7" numFmtId="0" fillId="0" borderId="2" applyFont="1" applyNumberFormat="0" applyFill="0" applyBorder="1" applyAlignment="0">
      <alignment horizontal="general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8" applyFont="0" applyNumberFormat="0" applyFill="0" applyBorder="1" applyAlignment="1">
      <alignment horizontal="center" vertical="center" textRotation="0" wrapText="false" shrinkToFit="false"/>
    </xf>
    <xf xfId="0" fontId="0" numFmtId="0" fillId="0" borderId="9" applyFont="0" applyNumberFormat="0" applyFill="0" applyBorder="1" applyAlignment="1">
      <alignment horizontal="center" vertical="center" textRotation="0" wrapText="false" shrinkToFit="false"/>
    </xf>
    <xf xfId="0" fontId="7" numFmtId="4" fillId="0" borderId="0" applyFont="1" applyNumberFormat="1" applyFill="0" applyBorder="0" applyAlignment="0">
      <alignment horizontal="general" vertical="bottom" textRotation="0" wrapText="false" shrinkToFit="false"/>
    </xf>
    <xf xfId="0" fontId="5" numFmtId="4" fillId="0" borderId="0" applyFont="1" applyNumberFormat="1" applyFill="0" applyBorder="0" applyAlignment="0">
      <alignment horizontal="general" vertical="bottom" textRotation="0" wrapText="false" shrinkToFit="false"/>
    </xf>
    <xf xfId="0" fontId="6" numFmtId="4" fillId="0" borderId="0" applyFont="1" applyNumberFormat="1" applyFill="0" applyBorder="0" applyAlignment="0">
      <alignment horizontal="general" vertical="bottom" textRotation="0" wrapText="false" shrinkToFit="false"/>
    </xf>
    <xf xfId="0" fontId="7" numFmtId="4" fillId="0" borderId="2" applyFont="1" applyNumberFormat="1" applyFill="0" applyBorder="1" applyAlignment="0">
      <alignment horizontal="general" vertical="bottom" textRotation="0" wrapText="false" shrinkToFit="false"/>
    </xf>
    <xf xfId="0" fontId="8" numFmtId="4" fillId="0" borderId="0" applyFont="1" applyNumberFormat="1" applyFill="0" applyBorder="0" applyAlignment="1">
      <alignment horizontal="right" vertical="center" textRotation="0" wrapText="false" shrinkToFit="false"/>
    </xf>
    <xf xfId="0" fontId="6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Relationship Id="rId47" Type="http://schemas.openxmlformats.org/officeDocument/2006/relationships/worksheet" Target="worksheets/sheet44.xml"/><Relationship Id="rId48" Type="http://schemas.openxmlformats.org/officeDocument/2006/relationships/worksheet" Target="worksheets/sheet45.xml"/><Relationship Id="rId49" Type="http://schemas.openxmlformats.org/officeDocument/2006/relationships/worksheet" Target="worksheets/sheet46.xml"/><Relationship Id="rId50" Type="http://schemas.openxmlformats.org/officeDocument/2006/relationships/worksheet" Target="worksheets/sheet47.xml"/><Relationship Id="rId51" Type="http://schemas.openxmlformats.org/officeDocument/2006/relationships/worksheet" Target="worksheets/sheet48.xml"/><Relationship Id="rId52" Type="http://schemas.openxmlformats.org/officeDocument/2006/relationships/worksheet" Target="worksheets/sheet49.xml"/><Relationship Id="rId53" Type="http://schemas.openxmlformats.org/officeDocument/2006/relationships/worksheet" Target="worksheets/sheet50.xml"/><Relationship Id="rId54" Type="http://schemas.openxmlformats.org/officeDocument/2006/relationships/worksheet" Target="worksheets/sheet51.xml"/><Relationship Id="rId55" Type="http://schemas.openxmlformats.org/officeDocument/2006/relationships/worksheet" Target="worksheets/sheet52.xml"/><Relationship Id="rId56" Type="http://schemas.openxmlformats.org/officeDocument/2006/relationships/worksheet" Target="worksheets/sheet53.xml"/><Relationship Id="rId57" Type="http://schemas.openxmlformats.org/officeDocument/2006/relationships/worksheet" Target="worksheets/sheet54.xml"/><Relationship Id="rId58" Type="http://schemas.openxmlformats.org/officeDocument/2006/relationships/worksheet" Target="worksheets/sheet55.xml"/><Relationship Id="rId59" Type="http://schemas.openxmlformats.org/officeDocument/2006/relationships/worksheet" Target="worksheets/sheet56.xml"/><Relationship Id="rId60" Type="http://schemas.openxmlformats.org/officeDocument/2006/relationships/worksheet" Target="worksheets/sheet57.xml"/><Relationship Id="rId61" Type="http://schemas.openxmlformats.org/officeDocument/2006/relationships/worksheet" Target="worksheets/sheet58.xml"/><Relationship Id="rId62" Type="http://schemas.openxmlformats.org/officeDocument/2006/relationships/worksheet" Target="worksheets/sheet59.xml"/><Relationship Id="rId63" Type="http://schemas.openxmlformats.org/officeDocument/2006/relationships/worksheet" Target="worksheets/sheet60.xml"/><Relationship Id="rId64" Type="http://schemas.openxmlformats.org/officeDocument/2006/relationships/worksheet" Target="worksheets/sheet61.xml"/><Relationship Id="rId65" Type="http://schemas.openxmlformats.org/officeDocument/2006/relationships/worksheet" Target="worksheets/sheet62.xml"/><Relationship Id="rId66" Type="http://schemas.openxmlformats.org/officeDocument/2006/relationships/worksheet" Target="worksheets/sheet63.xml"/><Relationship Id="rId67" Type="http://schemas.openxmlformats.org/officeDocument/2006/relationships/worksheet" Target="worksheets/sheet64.xml"/><Relationship Id="rId68" Type="http://schemas.openxmlformats.org/officeDocument/2006/relationships/worksheet" Target="worksheets/sheet65.xml"/><Relationship Id="rId69" Type="http://schemas.openxmlformats.org/officeDocument/2006/relationships/worksheet" Target="worksheets/sheet66.xml"/><Relationship Id="rId70" Type="http://schemas.openxmlformats.org/officeDocument/2006/relationships/worksheet" Target="worksheets/sheet67.xml"/><Relationship Id="rId71" Type="http://schemas.openxmlformats.org/officeDocument/2006/relationships/worksheet" Target="worksheets/sheet68.xml"/><Relationship Id="rId72" Type="http://schemas.openxmlformats.org/officeDocument/2006/relationships/worksheet" Target="worksheets/sheet69.xml"/><Relationship Id="rId73" Type="http://schemas.openxmlformats.org/officeDocument/2006/relationships/worksheet" Target="worksheets/sheet70.xml"/><Relationship Id="rId74" Type="http://schemas.openxmlformats.org/officeDocument/2006/relationships/worksheet" Target="worksheets/sheet71.xml"/><Relationship Id="rId75" Type="http://schemas.openxmlformats.org/officeDocument/2006/relationships/worksheet" Target="worksheets/sheet72.xml"/><Relationship Id="rId76" Type="http://schemas.openxmlformats.org/officeDocument/2006/relationships/worksheet" Target="worksheets/sheet73.xml"/><Relationship Id="rId77" Type="http://schemas.openxmlformats.org/officeDocument/2006/relationships/worksheet" Target="worksheets/sheet74.xml"/><Relationship Id="rId78" Type="http://schemas.openxmlformats.org/officeDocument/2006/relationships/worksheet" Target="worksheets/sheet7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14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15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16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17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18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19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20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21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22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23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24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25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26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27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28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29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30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31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32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33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34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35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36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37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38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39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40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41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42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43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44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45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46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47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48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49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50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51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52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53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54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55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56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57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58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59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60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61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62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63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64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65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66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67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68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69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70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71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72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73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74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0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2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3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4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5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6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7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8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9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0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2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3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4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5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6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7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8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9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50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5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52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53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54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55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56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57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58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59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60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6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62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63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64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65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66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67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68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69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70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7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72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73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74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4</v>
      </c>
      <c r="N4" s="10" t="s">
        <v>5</v>
      </c>
      <c r="O4" s="10">
        <v>251100085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8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19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24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>
        <v>1</v>
      </c>
      <c r="C9" s="4" t="s">
        <v>25</v>
      </c>
      <c r="D9" s="4">
        <v>12</v>
      </c>
      <c r="E9" s="4">
        <v>8.0</v>
      </c>
      <c r="F9" s="4">
        <v>1.0</v>
      </c>
      <c r="G9" s="4">
        <v>3.0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1693541.0</v>
      </c>
      <c r="P9" s="10"/>
      <c r="Q9" s="10"/>
    </row>
    <row r="10" spans="1:19">
      <c r="A10" s="6">
        <v>17</v>
      </c>
      <c r="B10" s="4">
        <v>2</v>
      </c>
      <c r="C10" s="4" t="s">
        <v>25</v>
      </c>
      <c r="D10" s="4">
        <v>12</v>
      </c>
      <c r="E10" s="4">
        <v>8.0</v>
      </c>
      <c r="F10" s="4">
        <v>1.0</v>
      </c>
      <c r="G10" s="4">
        <v>3.0</v>
      </c>
      <c r="H10" s="4">
        <v>0.0</v>
      </c>
      <c r="I10" s="4">
        <v>0.0</v>
      </c>
      <c r="K10" s="10" t="s">
        <v>27</v>
      </c>
      <c r="L10" s="10"/>
      <c r="M10" s="25" t="s">
        <v>28</v>
      </c>
      <c r="N10" s="25">
        <v>293677.54</v>
      </c>
      <c r="O10" s="25"/>
      <c r="P10" s="10"/>
      <c r="Q10" s="10"/>
    </row>
    <row r="11" spans="1:19">
      <c r="A11" s="6">
        <v>18</v>
      </c>
      <c r="B11" s="4">
        <v>3</v>
      </c>
      <c r="C11" s="4" t="s">
        <v>25</v>
      </c>
      <c r="D11" s="4">
        <v>12</v>
      </c>
      <c r="E11" s="4">
        <v>8.0</v>
      </c>
      <c r="F11" s="4">
        <v>1.0</v>
      </c>
      <c r="G11" s="4">
        <v>3.0</v>
      </c>
      <c r="H11" s="4">
        <v>0.0</v>
      </c>
      <c r="I11" s="4">
        <v>0.0</v>
      </c>
      <c r="K11" s="10" t="s">
        <v>29</v>
      </c>
      <c r="L11" s="10"/>
      <c r="M11" s="25" t="s">
        <v>30</v>
      </c>
      <c r="N11" s="25">
        <v>1174710.17</v>
      </c>
      <c r="O11" s="25"/>
      <c r="P11" s="10"/>
      <c r="Q11" s="10"/>
    </row>
    <row r="12" spans="1:19">
      <c r="A12" s="6">
        <v>19</v>
      </c>
      <c r="B12" s="4">
        <v>4</v>
      </c>
      <c r="C12" s="4" t="s">
        <v>25</v>
      </c>
      <c r="D12" s="4">
        <v>12</v>
      </c>
      <c r="E12" s="4">
        <v>8.0</v>
      </c>
      <c r="F12" s="4">
        <v>1.0</v>
      </c>
      <c r="G12" s="4">
        <v>3.0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>
        <v>5</v>
      </c>
      <c r="C13" s="4" t="s">
        <v>25</v>
      </c>
      <c r="D13" s="4">
        <v>12</v>
      </c>
      <c r="E13" s="4">
        <v>8.0</v>
      </c>
      <c r="F13" s="4">
        <v>1.0</v>
      </c>
      <c r="G13" s="4">
        <v>3.0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>
        <v>6</v>
      </c>
      <c r="C14" s="4" t="s">
        <v>25</v>
      </c>
      <c r="D14" s="4">
        <v>12</v>
      </c>
      <c r="E14" s="4">
        <v>8.0</v>
      </c>
      <c r="F14" s="4">
        <v>1.0</v>
      </c>
      <c r="G14" s="4">
        <v>3.0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1468388.0</v>
      </c>
      <c r="P14" s="10"/>
      <c r="Q14" s="10"/>
    </row>
    <row r="15" spans="1:19">
      <c r="A15" s="6">
        <v>22</v>
      </c>
      <c r="B15" s="4">
        <v>7</v>
      </c>
      <c r="C15" s="4" t="s">
        <v>25</v>
      </c>
      <c r="D15" s="4">
        <v>12</v>
      </c>
      <c r="E15" s="4">
        <v>8.0</v>
      </c>
      <c r="F15" s="4">
        <v>1.0</v>
      </c>
      <c r="G15" s="4">
        <v>3.0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>
        <v>8</v>
      </c>
      <c r="C16" s="4" t="s">
        <v>25</v>
      </c>
      <c r="D16" s="4">
        <v>12</v>
      </c>
      <c r="E16" s="4">
        <v>8.0</v>
      </c>
      <c r="F16" s="4">
        <v>1.0</v>
      </c>
      <c r="G16" s="4">
        <v>3.0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>
        <v>9</v>
      </c>
      <c r="C17" s="4" t="s">
        <v>25</v>
      </c>
      <c r="D17" s="4">
        <v>12</v>
      </c>
      <c r="E17" s="4">
        <v>8.0</v>
      </c>
      <c r="F17" s="4">
        <v>1.0</v>
      </c>
      <c r="G17" s="4">
        <v>3.0</v>
      </c>
      <c r="H17" s="4">
        <v>0.0</v>
      </c>
      <c r="I17" s="4">
        <v>0.0</v>
      </c>
      <c r="K17" s="10" t="s">
        <v>36</v>
      </c>
      <c r="L17" s="10"/>
      <c r="M17" s="27" t="s">
        <v>37</v>
      </c>
      <c r="N17" s="25">
        <v>60000</v>
      </c>
      <c r="O17" s="25"/>
      <c r="P17" s="10"/>
      <c r="Q17" s="10"/>
    </row>
    <row r="18" spans="1:19">
      <c r="A18" s="6">
        <v>25</v>
      </c>
      <c r="B18" s="4">
        <v>1</v>
      </c>
      <c r="C18" s="4" t="s">
        <v>25</v>
      </c>
      <c r="D18" s="4">
        <v>12</v>
      </c>
      <c r="E18" s="4">
        <v>8.0</v>
      </c>
      <c r="F18" s="4">
        <v>1.0</v>
      </c>
      <c r="G18" s="4">
        <v>3.0</v>
      </c>
      <c r="H18" s="4">
        <v>0.0</v>
      </c>
      <c r="I18" s="4">
        <v>0.0</v>
      </c>
      <c r="K18" s="10" t="s">
        <v>38</v>
      </c>
      <c r="L18" s="10"/>
      <c r="M18" s="27" t="s">
        <v>37</v>
      </c>
      <c r="N18" s="25">
        <v>100000</v>
      </c>
      <c r="O18" s="25"/>
      <c r="P18" s="10"/>
      <c r="Q18" s="10"/>
    </row>
    <row r="19" spans="1:19">
      <c r="A19" s="6">
        <v>26</v>
      </c>
      <c r="B19" s="4" t="s">
        <v>39</v>
      </c>
      <c r="C19" s="4">
        <v>0</v>
      </c>
      <c r="D19" s="4">
        <v>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K19" s="10" t="s">
        <v>40</v>
      </c>
      <c r="L19" s="10"/>
      <c r="M19" s="27" t="s">
        <v>37</v>
      </c>
      <c r="N19" s="25">
        <v>254031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 t="s">
        <v>39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 t="s">
        <v>39</v>
      </c>
      <c r="C22" s="4">
        <v>0</v>
      </c>
      <c r="D22" s="4">
        <v>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414031</v>
      </c>
      <c r="P22" s="10"/>
      <c r="Q22" s="10"/>
    </row>
    <row r="23" spans="1:19">
      <c r="A23" s="6">
        <v>30</v>
      </c>
      <c r="B23" s="4" t="s">
        <v>39</v>
      </c>
      <c r="C23" s="4">
        <v>0</v>
      </c>
      <c r="D23" s="4">
        <v>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 t="s">
        <v>39</v>
      </c>
      <c r="C24" s="4">
        <v>0</v>
      </c>
      <c r="D24" s="4">
        <v>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 t="s">
        <v>39</v>
      </c>
      <c r="C25" s="4">
        <v>0</v>
      </c>
      <c r="D25" s="4">
        <v>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 t="s">
        <v>39</v>
      </c>
      <c r="C26" s="4">
        <v>0</v>
      </c>
      <c r="D26" s="4">
        <v>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 t="s">
        <v>39</v>
      </c>
      <c r="C27" s="4">
        <v>0</v>
      </c>
      <c r="D27" s="4">
        <v>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 t="s">
        <v>39</v>
      </c>
      <c r="C28" s="4">
        <v>0</v>
      </c>
      <c r="D28" s="4">
        <v>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 t="s">
        <v>39</v>
      </c>
      <c r="C29" s="4">
        <v>0</v>
      </c>
      <c r="D29" s="4">
        <v>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3780538.9</v>
      </c>
      <c r="P29" s="10"/>
      <c r="Q29" s="10"/>
    </row>
    <row r="30" spans="1:19">
      <c r="A30" s="6">
        <v>7</v>
      </c>
      <c r="B30" s="4" t="s">
        <v>39</v>
      </c>
      <c r="C30" s="4">
        <v>0</v>
      </c>
      <c r="D30" s="4">
        <v>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51</v>
      </c>
      <c r="N31" s="28" t="s">
        <v>52</v>
      </c>
      <c r="O31" s="25">
        <f>ROUNDDOWN(-(0.00),0)</f>
        <v>0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39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 t="s">
        <v>39</v>
      </c>
      <c r="C37" s="4">
        <v>0</v>
      </c>
      <c r="D37" s="4">
        <v>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3440476.0</v>
      </c>
      <c r="P37" s="10"/>
      <c r="Q37" s="10"/>
    </row>
    <row r="38" spans="1:19">
      <c r="A38" s="6">
        <v>15</v>
      </c>
      <c r="B38" s="4" t="s">
        <v>39</v>
      </c>
      <c r="C38" s="4">
        <v>0</v>
      </c>
      <c r="D38" s="4">
        <v>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10</v>
      </c>
      <c r="D39" s="9">
        <v>120</v>
      </c>
      <c r="E39" s="9">
        <v>80.0</v>
      </c>
      <c r="F39" s="9">
        <v>10.0</v>
      </c>
      <c r="G39" s="9">
        <v>30.0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40.0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24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3440500.0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4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66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67</v>
      </c>
      <c r="N4" s="10" t="s">
        <v>5</v>
      </c>
      <c r="O4" s="10">
        <v>251100042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68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69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70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>
        <v>1</v>
      </c>
      <c r="C9" s="4" t="s">
        <v>25</v>
      </c>
      <c r="D9" s="4">
        <v>12</v>
      </c>
      <c r="E9" s="4">
        <v>8.0</v>
      </c>
      <c r="F9" s="4">
        <v>1.0</v>
      </c>
      <c r="G9" s="4">
        <v>3.0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2032249.0</v>
      </c>
      <c r="P9" s="10"/>
      <c r="Q9" s="10"/>
    </row>
    <row r="10" spans="1:19">
      <c r="A10" s="6">
        <v>17</v>
      </c>
      <c r="B10" s="4" t="s">
        <v>39</v>
      </c>
      <c r="C10" s="4">
        <v>0</v>
      </c>
      <c r="D10" s="4">
        <v>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K10" s="10" t="s">
        <v>27</v>
      </c>
      <c r="L10" s="10"/>
      <c r="M10" s="25" t="s">
        <v>71</v>
      </c>
      <c r="N10" s="25">
        <v>352413.05</v>
      </c>
      <c r="O10" s="25"/>
      <c r="P10" s="10"/>
      <c r="Q10" s="10"/>
    </row>
    <row r="11" spans="1:19">
      <c r="A11" s="6">
        <v>18</v>
      </c>
      <c r="B11" s="4" t="s">
        <v>39</v>
      </c>
      <c r="C11" s="4">
        <v>0</v>
      </c>
      <c r="D11" s="4">
        <v>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K11" s="10" t="s">
        <v>29</v>
      </c>
      <c r="L11" s="10"/>
      <c r="M11" s="25" t="s">
        <v>72</v>
      </c>
      <c r="N11" s="25">
        <v>1409652.21</v>
      </c>
      <c r="O11" s="25"/>
      <c r="P11" s="10"/>
      <c r="Q11" s="10"/>
    </row>
    <row r="12" spans="1:19">
      <c r="A12" s="6">
        <v>19</v>
      </c>
      <c r="B12" s="4" t="s">
        <v>39</v>
      </c>
      <c r="C12" s="4">
        <v>0</v>
      </c>
      <c r="D12" s="4">
        <v>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 t="s">
        <v>39</v>
      </c>
      <c r="C13" s="4">
        <v>0</v>
      </c>
      <c r="D13" s="4">
        <v>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>
        <v>1</v>
      </c>
      <c r="C14" s="4">
        <v>1</v>
      </c>
      <c r="D14" s="4">
        <v>12</v>
      </c>
      <c r="E14" s="4">
        <v>8.0</v>
      </c>
      <c r="F14" s="4">
        <v>1.0</v>
      </c>
      <c r="G14" s="4">
        <v>3.0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1762065.0</v>
      </c>
      <c r="P14" s="10"/>
      <c r="Q14" s="10"/>
    </row>
    <row r="15" spans="1:19">
      <c r="A15" s="6">
        <v>22</v>
      </c>
      <c r="B15" s="4" t="s">
        <v>39</v>
      </c>
      <c r="C15" s="4">
        <v>0</v>
      </c>
      <c r="D15" s="4">
        <v>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 t="s">
        <v>39</v>
      </c>
      <c r="C16" s="4">
        <v>0</v>
      </c>
      <c r="D16" s="4">
        <v>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>
        <v>1</v>
      </c>
      <c r="C17" s="4" t="s">
        <v>25</v>
      </c>
      <c r="D17" s="4">
        <v>12</v>
      </c>
      <c r="E17" s="4">
        <v>8.0</v>
      </c>
      <c r="F17" s="4">
        <v>1.0</v>
      </c>
      <c r="G17" s="4">
        <v>3.0</v>
      </c>
      <c r="H17" s="4">
        <v>0.0</v>
      </c>
      <c r="I17" s="4">
        <v>0.0</v>
      </c>
      <c r="K17" s="10" t="s">
        <v>36</v>
      </c>
      <c r="L17" s="10"/>
      <c r="M17" s="27" t="s">
        <v>73</v>
      </c>
      <c r="N17" s="25">
        <v>72000</v>
      </c>
      <c r="O17" s="25"/>
      <c r="P17" s="10"/>
      <c r="Q17" s="10"/>
    </row>
    <row r="18" spans="1:19">
      <c r="A18" s="6">
        <v>25</v>
      </c>
      <c r="B18" s="4">
        <v>2</v>
      </c>
      <c r="C18" s="4" t="s">
        <v>25</v>
      </c>
      <c r="D18" s="4">
        <v>12</v>
      </c>
      <c r="E18" s="4">
        <v>8.0</v>
      </c>
      <c r="F18" s="4">
        <v>1.0</v>
      </c>
      <c r="G18" s="4">
        <v>3.0</v>
      </c>
      <c r="H18" s="4">
        <v>0.0</v>
      </c>
      <c r="I18" s="4">
        <v>0.0</v>
      </c>
      <c r="K18" s="10" t="s">
        <v>38</v>
      </c>
      <c r="L18" s="10"/>
      <c r="M18" s="27" t="s">
        <v>73</v>
      </c>
      <c r="N18" s="25">
        <v>120000</v>
      </c>
      <c r="O18" s="25"/>
      <c r="P18" s="10"/>
      <c r="Q18" s="10"/>
    </row>
    <row r="19" spans="1:19">
      <c r="A19" s="6">
        <v>26</v>
      </c>
      <c r="B19" s="4" t="s">
        <v>39</v>
      </c>
      <c r="C19" s="4">
        <v>0</v>
      </c>
      <c r="D19" s="4">
        <v>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K19" s="10" t="s">
        <v>40</v>
      </c>
      <c r="L19" s="10"/>
      <c r="M19" s="27" t="s">
        <v>74</v>
      </c>
      <c r="N19" s="25">
        <v>279434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 t="s">
        <v>39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 t="s">
        <v>39</v>
      </c>
      <c r="C22" s="4">
        <v>0</v>
      </c>
      <c r="D22" s="4">
        <v>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471434</v>
      </c>
      <c r="P22" s="10"/>
      <c r="Q22" s="10"/>
    </row>
    <row r="23" spans="1:19">
      <c r="A23" s="6">
        <v>30</v>
      </c>
      <c r="B23" s="4" t="s">
        <v>39</v>
      </c>
      <c r="C23" s="4">
        <v>0</v>
      </c>
      <c r="D23" s="4">
        <v>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>
        <v>1</v>
      </c>
      <c r="C24" s="4" t="s">
        <v>25</v>
      </c>
      <c r="D24" s="4">
        <v>12</v>
      </c>
      <c r="E24" s="4">
        <v>8.0</v>
      </c>
      <c r="F24" s="4">
        <v>1.0</v>
      </c>
      <c r="G24" s="4">
        <v>3.0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>
        <v>2</v>
      </c>
      <c r="C25" s="4" t="s">
        <v>25</v>
      </c>
      <c r="D25" s="4">
        <v>12</v>
      </c>
      <c r="E25" s="4">
        <v>8.0</v>
      </c>
      <c r="F25" s="4">
        <v>1.0</v>
      </c>
      <c r="G25" s="4">
        <v>3.0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>
        <v>3</v>
      </c>
      <c r="C26" s="4" t="s">
        <v>25</v>
      </c>
      <c r="D26" s="4">
        <v>12</v>
      </c>
      <c r="E26" s="4">
        <v>8.0</v>
      </c>
      <c r="F26" s="4">
        <v>1.0</v>
      </c>
      <c r="G26" s="4">
        <v>3.0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>
        <v>4</v>
      </c>
      <c r="C27" s="4" t="s">
        <v>25</v>
      </c>
      <c r="D27" s="4">
        <v>12</v>
      </c>
      <c r="E27" s="4">
        <v>8.0</v>
      </c>
      <c r="F27" s="4">
        <v>1.0</v>
      </c>
      <c r="G27" s="4">
        <v>3.0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>
        <v>5</v>
      </c>
      <c r="C28" s="4" t="s">
        <v>25</v>
      </c>
      <c r="D28" s="4">
        <v>12</v>
      </c>
      <c r="E28" s="4">
        <v>8.0</v>
      </c>
      <c r="F28" s="4">
        <v>1.0</v>
      </c>
      <c r="G28" s="4">
        <v>3.0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>
        <v>6</v>
      </c>
      <c r="C29" s="4" t="s">
        <v>25</v>
      </c>
      <c r="D29" s="4">
        <v>12</v>
      </c>
      <c r="E29" s="4">
        <v>8.0</v>
      </c>
      <c r="F29" s="4">
        <v>1.0</v>
      </c>
      <c r="G29" s="4">
        <v>3.0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4470327.55</v>
      </c>
      <c r="P29" s="10"/>
      <c r="Q29" s="10"/>
    </row>
    <row r="30" spans="1:19">
      <c r="A30" s="6">
        <v>7</v>
      </c>
      <c r="B30" s="4">
        <v>7</v>
      </c>
      <c r="C30" s="4" t="s">
        <v>25</v>
      </c>
      <c r="D30" s="4">
        <v>12</v>
      </c>
      <c r="E30" s="4">
        <v>8.0</v>
      </c>
      <c r="F30" s="4">
        <v>1.0</v>
      </c>
      <c r="G30" s="4">
        <v>3.0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>
        <v>8</v>
      </c>
      <c r="C31" s="4" t="s">
        <v>25</v>
      </c>
      <c r="D31" s="4">
        <v>12</v>
      </c>
      <c r="E31" s="4">
        <v>8.0</v>
      </c>
      <c r="F31" s="4">
        <v>1.0</v>
      </c>
      <c r="G31" s="4">
        <v>3.0</v>
      </c>
      <c r="H31" s="4">
        <v>0.0</v>
      </c>
      <c r="I31" s="4">
        <v>0.0</v>
      </c>
      <c r="K31" s="10" t="s">
        <v>50</v>
      </c>
      <c r="L31" s="10"/>
      <c r="M31" s="28" t="s">
        <v>75</v>
      </c>
      <c r="N31" s="28" t="s">
        <v>52</v>
      </c>
      <c r="O31" s="25">
        <f>ROUNDDOWN(-(0.00),0)</f>
        <v>0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39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 t="s">
        <v>39</v>
      </c>
      <c r="C37" s="4">
        <v>0</v>
      </c>
      <c r="D37" s="4">
        <v>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4130265.0</v>
      </c>
      <c r="P37" s="10"/>
      <c r="Q37" s="10"/>
    </row>
    <row r="38" spans="1:19">
      <c r="A38" s="6">
        <v>15</v>
      </c>
      <c r="B38" s="4" t="s">
        <v>39</v>
      </c>
      <c r="C38" s="4">
        <v>0</v>
      </c>
      <c r="D38" s="4">
        <v>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12</v>
      </c>
      <c r="D39" s="9">
        <v>144</v>
      </c>
      <c r="E39" s="9">
        <v>96.0</v>
      </c>
      <c r="F39" s="9">
        <v>12.0</v>
      </c>
      <c r="G39" s="9">
        <v>36.0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48.0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35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4130300.0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67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76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77</v>
      </c>
      <c r="N4" s="10" t="s">
        <v>5</v>
      </c>
      <c r="O4" s="10">
        <v>251100049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68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78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79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 t="s">
        <v>39</v>
      </c>
      <c r="C9" s="4">
        <v>0</v>
      </c>
      <c r="D9" s="4">
        <v>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1693541.0</v>
      </c>
      <c r="P9" s="10"/>
      <c r="Q9" s="10"/>
    </row>
    <row r="10" spans="1:19">
      <c r="A10" s="6">
        <v>17</v>
      </c>
      <c r="B10" s="4" t="s">
        <v>39</v>
      </c>
      <c r="C10" s="4">
        <v>0</v>
      </c>
      <c r="D10" s="4">
        <v>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K10" s="10" t="s">
        <v>27</v>
      </c>
      <c r="L10" s="10"/>
      <c r="M10" s="25" t="s">
        <v>28</v>
      </c>
      <c r="N10" s="25">
        <v>293677.54</v>
      </c>
      <c r="O10" s="25"/>
      <c r="P10" s="10"/>
      <c r="Q10" s="10"/>
    </row>
    <row r="11" spans="1:19">
      <c r="A11" s="6">
        <v>18</v>
      </c>
      <c r="B11" s="4" t="s">
        <v>39</v>
      </c>
      <c r="C11" s="4">
        <v>0</v>
      </c>
      <c r="D11" s="4">
        <v>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K11" s="10" t="s">
        <v>29</v>
      </c>
      <c r="L11" s="10"/>
      <c r="M11" s="25" t="s">
        <v>30</v>
      </c>
      <c r="N11" s="25">
        <v>1174710.17</v>
      </c>
      <c r="O11" s="25"/>
      <c r="P11" s="10"/>
      <c r="Q11" s="10"/>
    </row>
    <row r="12" spans="1:19">
      <c r="A12" s="6">
        <v>19</v>
      </c>
      <c r="B12" s="4" t="s">
        <v>39</v>
      </c>
      <c r="C12" s="4">
        <v>0</v>
      </c>
      <c r="D12" s="4">
        <v>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 t="s">
        <v>39</v>
      </c>
      <c r="C13" s="4">
        <v>0</v>
      </c>
      <c r="D13" s="4">
        <v>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 t="s">
        <v>39</v>
      </c>
      <c r="C14" s="4">
        <v>0</v>
      </c>
      <c r="D14" s="4">
        <v>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1468388.0</v>
      </c>
      <c r="P14" s="10"/>
      <c r="Q14" s="10"/>
    </row>
    <row r="15" spans="1:19">
      <c r="A15" s="6">
        <v>22</v>
      </c>
      <c r="B15" s="4" t="s">
        <v>39</v>
      </c>
      <c r="C15" s="4">
        <v>0</v>
      </c>
      <c r="D15" s="4">
        <v>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 t="s">
        <v>39</v>
      </c>
      <c r="C16" s="4">
        <v>0</v>
      </c>
      <c r="D16" s="4">
        <v>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>
        <v>1</v>
      </c>
      <c r="C17" s="4">
        <v>1</v>
      </c>
      <c r="D17" s="4">
        <v>12</v>
      </c>
      <c r="E17" s="4">
        <v>8.0</v>
      </c>
      <c r="F17" s="4">
        <v>1.0</v>
      </c>
      <c r="G17" s="4">
        <v>3.0</v>
      </c>
      <c r="H17" s="4">
        <v>0.0</v>
      </c>
      <c r="I17" s="4">
        <v>0.0</v>
      </c>
      <c r="K17" s="10" t="s">
        <v>36</v>
      </c>
      <c r="L17" s="10"/>
      <c r="M17" s="27" t="s">
        <v>37</v>
      </c>
      <c r="N17" s="25">
        <v>60000</v>
      </c>
      <c r="O17" s="25"/>
      <c r="P17" s="10"/>
      <c r="Q17" s="10"/>
    </row>
    <row r="18" spans="1:19">
      <c r="A18" s="6">
        <v>25</v>
      </c>
      <c r="B18" s="4">
        <v>2</v>
      </c>
      <c r="C18" s="4">
        <v>1</v>
      </c>
      <c r="D18" s="4">
        <v>12</v>
      </c>
      <c r="E18" s="4">
        <v>8.0</v>
      </c>
      <c r="F18" s="4">
        <v>1.0</v>
      </c>
      <c r="G18" s="4">
        <v>3.0</v>
      </c>
      <c r="H18" s="4">
        <v>0.0</v>
      </c>
      <c r="I18" s="4">
        <v>0.0</v>
      </c>
      <c r="K18" s="10" t="s">
        <v>38</v>
      </c>
      <c r="L18" s="10"/>
      <c r="M18" s="27" t="s">
        <v>37</v>
      </c>
      <c r="N18" s="25">
        <v>100000</v>
      </c>
      <c r="O18" s="25"/>
      <c r="P18" s="10"/>
      <c r="Q18" s="10"/>
    </row>
    <row r="19" spans="1:19">
      <c r="A19" s="6">
        <v>26</v>
      </c>
      <c r="B19" s="4" t="s">
        <v>39</v>
      </c>
      <c r="C19" s="4">
        <v>0</v>
      </c>
      <c r="D19" s="4">
        <v>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K19" s="10" t="s">
        <v>40</v>
      </c>
      <c r="L19" s="10"/>
      <c r="M19" s="27" t="s">
        <v>80</v>
      </c>
      <c r="N19" s="25">
        <v>0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 t="s">
        <v>39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 t="s">
        <v>39</v>
      </c>
      <c r="C22" s="4">
        <v>0</v>
      </c>
      <c r="D22" s="4">
        <v>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160000</v>
      </c>
      <c r="P22" s="10"/>
      <c r="Q22" s="10"/>
    </row>
    <row r="23" spans="1:19">
      <c r="A23" s="6">
        <v>30</v>
      </c>
      <c r="B23" s="4">
        <v>1</v>
      </c>
      <c r="C23" s="4">
        <v>1</v>
      </c>
      <c r="D23" s="4">
        <v>12</v>
      </c>
      <c r="E23" s="4">
        <v>8.0</v>
      </c>
      <c r="F23" s="4">
        <v>1.0</v>
      </c>
      <c r="G23" s="4">
        <v>3.0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>
        <v>2</v>
      </c>
      <c r="C24" s="4">
        <v>1</v>
      </c>
      <c r="D24" s="4">
        <v>12</v>
      </c>
      <c r="E24" s="4">
        <v>8.0</v>
      </c>
      <c r="F24" s="4">
        <v>1.0</v>
      </c>
      <c r="G24" s="4">
        <v>3.0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>
        <v>3</v>
      </c>
      <c r="C25" s="4">
        <v>1</v>
      </c>
      <c r="D25" s="4">
        <v>12</v>
      </c>
      <c r="E25" s="4">
        <v>8.0</v>
      </c>
      <c r="F25" s="4">
        <v>1.0</v>
      </c>
      <c r="G25" s="4">
        <v>3.0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>
        <v>4</v>
      </c>
      <c r="C26" s="4">
        <v>1</v>
      </c>
      <c r="D26" s="4">
        <v>12</v>
      </c>
      <c r="E26" s="4">
        <v>8.0</v>
      </c>
      <c r="F26" s="4">
        <v>1.0</v>
      </c>
      <c r="G26" s="4">
        <v>3.0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>
        <v>5</v>
      </c>
      <c r="C27" s="4">
        <v>1</v>
      </c>
      <c r="D27" s="4">
        <v>12</v>
      </c>
      <c r="E27" s="4">
        <v>8.0</v>
      </c>
      <c r="F27" s="4">
        <v>1.0</v>
      </c>
      <c r="G27" s="4">
        <v>3.0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>
        <v>6</v>
      </c>
      <c r="C28" s="4">
        <v>1</v>
      </c>
      <c r="D28" s="4">
        <v>12</v>
      </c>
      <c r="E28" s="4">
        <v>8.0</v>
      </c>
      <c r="F28" s="4">
        <v>1.0</v>
      </c>
      <c r="G28" s="4">
        <v>3.0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>
        <v>7</v>
      </c>
      <c r="C29" s="4">
        <v>1</v>
      </c>
      <c r="D29" s="4">
        <v>12</v>
      </c>
      <c r="E29" s="4">
        <v>8.0</v>
      </c>
      <c r="F29" s="4">
        <v>1.0</v>
      </c>
      <c r="G29" s="4">
        <v>3.0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3526507.9</v>
      </c>
      <c r="P29" s="10"/>
      <c r="Q29" s="10"/>
    </row>
    <row r="30" spans="1:19">
      <c r="A30" s="6">
        <v>7</v>
      </c>
      <c r="B30" s="4">
        <v>8</v>
      </c>
      <c r="C30" s="4">
        <v>1</v>
      </c>
      <c r="D30" s="4">
        <v>12</v>
      </c>
      <c r="E30" s="4">
        <v>8.0</v>
      </c>
      <c r="F30" s="4">
        <v>1.0</v>
      </c>
      <c r="G30" s="4">
        <v>3.0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51</v>
      </c>
      <c r="N31" s="28" t="s">
        <v>52</v>
      </c>
      <c r="O31" s="25">
        <f>ROUNDDOWN(-(0.00),0)</f>
        <v>0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39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 t="s">
        <v>39</v>
      </c>
      <c r="C37" s="4">
        <v>0</v>
      </c>
      <c r="D37" s="4">
        <v>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3186445.0</v>
      </c>
      <c r="P37" s="10"/>
      <c r="Q37" s="10"/>
    </row>
    <row r="38" spans="1:19">
      <c r="A38" s="6">
        <v>15</v>
      </c>
      <c r="B38" s="4" t="s">
        <v>39</v>
      </c>
      <c r="C38" s="4">
        <v>0</v>
      </c>
      <c r="D38" s="4">
        <v>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10</v>
      </c>
      <c r="D39" s="9">
        <v>120</v>
      </c>
      <c r="E39" s="9">
        <v>80.0</v>
      </c>
      <c r="F39" s="9">
        <v>10.0</v>
      </c>
      <c r="G39" s="9">
        <v>30.0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40.0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-45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3186400.0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77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81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82</v>
      </c>
      <c r="N4" s="10" t="s">
        <v>5</v>
      </c>
      <c r="O4" s="10">
        <v>251100089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83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19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84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>
        <v>1</v>
      </c>
      <c r="C9" s="4" t="s">
        <v>25</v>
      </c>
      <c r="D9" s="4">
        <v>12</v>
      </c>
      <c r="E9" s="4">
        <v>8.0</v>
      </c>
      <c r="F9" s="4">
        <v>1.0</v>
      </c>
      <c r="G9" s="4">
        <v>3.0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1354832.0</v>
      </c>
      <c r="P9" s="10"/>
      <c r="Q9" s="10"/>
    </row>
    <row r="10" spans="1:19">
      <c r="A10" s="6">
        <v>17</v>
      </c>
      <c r="B10" s="4">
        <v>2</v>
      </c>
      <c r="C10" s="4" t="s">
        <v>25</v>
      </c>
      <c r="D10" s="4">
        <v>12</v>
      </c>
      <c r="E10" s="4">
        <v>8.0</v>
      </c>
      <c r="F10" s="4">
        <v>1.0</v>
      </c>
      <c r="G10" s="4">
        <v>3.0</v>
      </c>
      <c r="H10" s="4">
        <v>0.0</v>
      </c>
      <c r="I10" s="4">
        <v>0.0</v>
      </c>
      <c r="K10" s="10" t="s">
        <v>27</v>
      </c>
      <c r="L10" s="10"/>
      <c r="M10" s="25" t="s">
        <v>85</v>
      </c>
      <c r="N10" s="25">
        <v>234942.03</v>
      </c>
      <c r="O10" s="25"/>
      <c r="P10" s="10"/>
      <c r="Q10" s="10"/>
    </row>
    <row r="11" spans="1:19">
      <c r="A11" s="6">
        <v>18</v>
      </c>
      <c r="B11" s="4">
        <v>3</v>
      </c>
      <c r="C11" s="4" t="s">
        <v>25</v>
      </c>
      <c r="D11" s="4">
        <v>12</v>
      </c>
      <c r="E11" s="4">
        <v>8.0</v>
      </c>
      <c r="F11" s="4">
        <v>1.0</v>
      </c>
      <c r="G11" s="4">
        <v>3.0</v>
      </c>
      <c r="H11" s="4">
        <v>0.0</v>
      </c>
      <c r="I11" s="4">
        <v>0.0</v>
      </c>
      <c r="K11" s="10" t="s">
        <v>29</v>
      </c>
      <c r="L11" s="10"/>
      <c r="M11" s="25" t="s">
        <v>86</v>
      </c>
      <c r="N11" s="25">
        <v>939768.14</v>
      </c>
      <c r="O11" s="25"/>
      <c r="P11" s="10"/>
      <c r="Q11" s="10"/>
    </row>
    <row r="12" spans="1:19">
      <c r="A12" s="6">
        <v>19</v>
      </c>
      <c r="B12" s="4">
        <v>4</v>
      </c>
      <c r="C12" s="4" t="s">
        <v>25</v>
      </c>
      <c r="D12" s="4">
        <v>12</v>
      </c>
      <c r="E12" s="4">
        <v>8.0</v>
      </c>
      <c r="F12" s="4">
        <v>1.0</v>
      </c>
      <c r="G12" s="4">
        <v>3.0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>
        <v>5</v>
      </c>
      <c r="C13" s="4" t="s">
        <v>25</v>
      </c>
      <c r="D13" s="4">
        <v>12</v>
      </c>
      <c r="E13" s="4">
        <v>8.0</v>
      </c>
      <c r="F13" s="4">
        <v>1.0</v>
      </c>
      <c r="G13" s="4">
        <v>3.0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>
        <v>6</v>
      </c>
      <c r="C14" s="4" t="s">
        <v>25</v>
      </c>
      <c r="D14" s="4">
        <v>12</v>
      </c>
      <c r="E14" s="4">
        <v>8.0</v>
      </c>
      <c r="F14" s="4">
        <v>1.0</v>
      </c>
      <c r="G14" s="4">
        <v>3.0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1174710.0</v>
      </c>
      <c r="P14" s="10"/>
      <c r="Q14" s="10"/>
    </row>
    <row r="15" spans="1:19">
      <c r="A15" s="6">
        <v>22</v>
      </c>
      <c r="B15" s="4">
        <v>7</v>
      </c>
      <c r="C15" s="4" t="s">
        <v>25</v>
      </c>
      <c r="D15" s="4">
        <v>12</v>
      </c>
      <c r="E15" s="4">
        <v>8.0</v>
      </c>
      <c r="F15" s="4">
        <v>1.0</v>
      </c>
      <c r="G15" s="4">
        <v>3.0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>
        <v>8</v>
      </c>
      <c r="C16" s="4" t="s">
        <v>25</v>
      </c>
      <c r="D16" s="4">
        <v>12</v>
      </c>
      <c r="E16" s="4">
        <v>8.0</v>
      </c>
      <c r="F16" s="4">
        <v>1.0</v>
      </c>
      <c r="G16" s="4">
        <v>3.0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 t="s">
        <v>39</v>
      </c>
      <c r="C17" s="4">
        <v>0</v>
      </c>
      <c r="D17" s="4">
        <v>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K17" s="10" t="s">
        <v>36</v>
      </c>
      <c r="L17" s="10"/>
      <c r="M17" s="27" t="s">
        <v>87</v>
      </c>
      <c r="N17" s="25">
        <v>48000</v>
      </c>
      <c r="O17" s="25"/>
      <c r="P17" s="10"/>
      <c r="Q17" s="10"/>
    </row>
    <row r="18" spans="1:19">
      <c r="A18" s="6">
        <v>25</v>
      </c>
      <c r="B18" s="4" t="s">
        <v>39</v>
      </c>
      <c r="C18" s="4">
        <v>0</v>
      </c>
      <c r="D18" s="4">
        <v>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K18" s="10" t="s">
        <v>38</v>
      </c>
      <c r="L18" s="10"/>
      <c r="M18" s="27" t="s">
        <v>87</v>
      </c>
      <c r="N18" s="25">
        <v>80000</v>
      </c>
      <c r="O18" s="25"/>
      <c r="P18" s="10"/>
      <c r="Q18" s="10"/>
    </row>
    <row r="19" spans="1:19">
      <c r="A19" s="6">
        <v>26</v>
      </c>
      <c r="B19" s="4" t="s">
        <v>39</v>
      </c>
      <c r="C19" s="4">
        <v>0</v>
      </c>
      <c r="D19" s="4">
        <v>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K19" s="10" t="s">
        <v>40</v>
      </c>
      <c r="L19" s="10"/>
      <c r="M19" s="27" t="s">
        <v>87</v>
      </c>
      <c r="N19" s="25">
        <v>203225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 t="s">
        <v>39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 t="s">
        <v>39</v>
      </c>
      <c r="C22" s="4">
        <v>0</v>
      </c>
      <c r="D22" s="4">
        <v>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331225</v>
      </c>
      <c r="P22" s="10"/>
      <c r="Q22" s="10"/>
    </row>
    <row r="23" spans="1:19">
      <c r="A23" s="6">
        <v>30</v>
      </c>
      <c r="B23" s="4" t="s">
        <v>39</v>
      </c>
      <c r="C23" s="4">
        <v>0</v>
      </c>
      <c r="D23" s="4">
        <v>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 t="s">
        <v>39</v>
      </c>
      <c r="C24" s="4">
        <v>0</v>
      </c>
      <c r="D24" s="4">
        <v>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 t="s">
        <v>39</v>
      </c>
      <c r="C25" s="4">
        <v>0</v>
      </c>
      <c r="D25" s="4">
        <v>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 t="s">
        <v>39</v>
      </c>
      <c r="C26" s="4">
        <v>0</v>
      </c>
      <c r="D26" s="4">
        <v>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 t="s">
        <v>39</v>
      </c>
      <c r="C27" s="4">
        <v>0</v>
      </c>
      <c r="D27" s="4">
        <v>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 t="s">
        <v>39</v>
      </c>
      <c r="C28" s="4">
        <v>0</v>
      </c>
      <c r="D28" s="4">
        <v>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 t="s">
        <v>39</v>
      </c>
      <c r="C29" s="4">
        <v>0</v>
      </c>
      <c r="D29" s="4">
        <v>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3065347.26</v>
      </c>
      <c r="P29" s="10"/>
      <c r="Q29" s="10"/>
    </row>
    <row r="30" spans="1:19">
      <c r="A30" s="6">
        <v>7</v>
      </c>
      <c r="B30" s="4" t="s">
        <v>39</v>
      </c>
      <c r="C30" s="4">
        <v>0</v>
      </c>
      <c r="D30" s="4">
        <v>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51</v>
      </c>
      <c r="N31" s="28" t="s">
        <v>52</v>
      </c>
      <c r="O31" s="25">
        <f>ROUNDDOWN(-(0.00),0)</f>
        <v>0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39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 t="s">
        <v>39</v>
      </c>
      <c r="C37" s="4">
        <v>0</v>
      </c>
      <c r="D37" s="4">
        <v>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2725284.0</v>
      </c>
      <c r="P37" s="10"/>
      <c r="Q37" s="10"/>
    </row>
    <row r="38" spans="1:19">
      <c r="A38" s="6">
        <v>15</v>
      </c>
      <c r="B38" s="4" t="s">
        <v>39</v>
      </c>
      <c r="C38" s="4">
        <v>0</v>
      </c>
      <c r="D38" s="4">
        <v>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8</v>
      </c>
      <c r="D39" s="9">
        <v>96</v>
      </c>
      <c r="E39" s="9">
        <v>64.0</v>
      </c>
      <c r="F39" s="9">
        <v>8.0</v>
      </c>
      <c r="G39" s="9">
        <v>24.0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32.0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16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2725300.0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82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88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89</v>
      </c>
      <c r="N4" s="10" t="s">
        <v>5</v>
      </c>
      <c r="O4" s="10">
        <v>251100067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90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69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91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 t="s">
        <v>39</v>
      </c>
      <c r="C9" s="4">
        <v>0</v>
      </c>
      <c r="D9" s="4">
        <v>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2032249.0</v>
      </c>
      <c r="P9" s="10"/>
      <c r="Q9" s="10"/>
    </row>
    <row r="10" spans="1:19">
      <c r="A10" s="6">
        <v>17</v>
      </c>
      <c r="B10" s="4" t="s">
        <v>39</v>
      </c>
      <c r="C10" s="4">
        <v>0</v>
      </c>
      <c r="D10" s="4">
        <v>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K10" s="10" t="s">
        <v>27</v>
      </c>
      <c r="L10" s="10"/>
      <c r="M10" s="25" t="s">
        <v>71</v>
      </c>
      <c r="N10" s="25">
        <v>352413.05</v>
      </c>
      <c r="O10" s="25"/>
      <c r="P10" s="10"/>
      <c r="Q10" s="10"/>
    </row>
    <row r="11" spans="1:19">
      <c r="A11" s="6">
        <v>18</v>
      </c>
      <c r="B11" s="4" t="s">
        <v>39</v>
      </c>
      <c r="C11" s="4">
        <v>0</v>
      </c>
      <c r="D11" s="4">
        <v>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K11" s="10" t="s">
        <v>29</v>
      </c>
      <c r="L11" s="10"/>
      <c r="M11" s="25" t="s">
        <v>72</v>
      </c>
      <c r="N11" s="25">
        <v>1409652.21</v>
      </c>
      <c r="O11" s="25"/>
      <c r="P11" s="10"/>
      <c r="Q11" s="10"/>
    </row>
    <row r="12" spans="1:19">
      <c r="A12" s="6">
        <v>19</v>
      </c>
      <c r="B12" s="4" t="s">
        <v>39</v>
      </c>
      <c r="C12" s="4">
        <v>0</v>
      </c>
      <c r="D12" s="4">
        <v>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 t="s">
        <v>39</v>
      </c>
      <c r="C13" s="4">
        <v>0</v>
      </c>
      <c r="D13" s="4">
        <v>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 t="s">
        <v>39</v>
      </c>
      <c r="C14" s="4">
        <v>0</v>
      </c>
      <c r="D14" s="4">
        <v>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1762065.0</v>
      </c>
      <c r="P14" s="10"/>
      <c r="Q14" s="10"/>
    </row>
    <row r="15" spans="1:19">
      <c r="A15" s="6">
        <v>22</v>
      </c>
      <c r="B15" s="4" t="s">
        <v>39</v>
      </c>
      <c r="C15" s="4">
        <v>0</v>
      </c>
      <c r="D15" s="4">
        <v>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>
        <v>1</v>
      </c>
      <c r="C16" s="4">
        <v>1</v>
      </c>
      <c r="D16" s="4">
        <v>12</v>
      </c>
      <c r="E16" s="4">
        <v>8.0</v>
      </c>
      <c r="F16" s="4">
        <v>1.0</v>
      </c>
      <c r="G16" s="4">
        <v>3.0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>
        <v>2</v>
      </c>
      <c r="C17" s="4">
        <v>1</v>
      </c>
      <c r="D17" s="4">
        <v>12</v>
      </c>
      <c r="E17" s="4">
        <v>8.0</v>
      </c>
      <c r="F17" s="4">
        <v>1.0</v>
      </c>
      <c r="G17" s="4">
        <v>3.0</v>
      </c>
      <c r="H17" s="4">
        <v>0.0</v>
      </c>
      <c r="I17" s="4">
        <v>0.0</v>
      </c>
      <c r="K17" s="10" t="s">
        <v>36</v>
      </c>
      <c r="L17" s="10"/>
      <c r="M17" s="27" t="s">
        <v>73</v>
      </c>
      <c r="N17" s="25">
        <v>72000</v>
      </c>
      <c r="O17" s="25"/>
      <c r="P17" s="10"/>
      <c r="Q17" s="10"/>
    </row>
    <row r="18" spans="1:19">
      <c r="A18" s="6">
        <v>25</v>
      </c>
      <c r="B18" s="4">
        <v>3</v>
      </c>
      <c r="C18" s="4">
        <v>1</v>
      </c>
      <c r="D18" s="4">
        <v>12</v>
      </c>
      <c r="E18" s="4">
        <v>8.0</v>
      </c>
      <c r="F18" s="4">
        <v>1.0</v>
      </c>
      <c r="G18" s="4">
        <v>3.0</v>
      </c>
      <c r="H18" s="4">
        <v>0.0</v>
      </c>
      <c r="I18" s="4">
        <v>0.0</v>
      </c>
      <c r="K18" s="10" t="s">
        <v>38</v>
      </c>
      <c r="L18" s="10"/>
      <c r="M18" s="27" t="s">
        <v>73</v>
      </c>
      <c r="N18" s="25">
        <v>120000</v>
      </c>
      <c r="O18" s="25"/>
      <c r="P18" s="10"/>
      <c r="Q18" s="10"/>
    </row>
    <row r="19" spans="1:19">
      <c r="A19" s="6">
        <v>26</v>
      </c>
      <c r="B19" s="4">
        <v>4</v>
      </c>
      <c r="C19" s="4">
        <v>1</v>
      </c>
      <c r="D19" s="4">
        <v>12</v>
      </c>
      <c r="E19" s="4">
        <v>8.0</v>
      </c>
      <c r="F19" s="4">
        <v>1.0</v>
      </c>
      <c r="G19" s="4">
        <v>3.0</v>
      </c>
      <c r="H19" s="4">
        <v>0.0</v>
      </c>
      <c r="I19" s="4">
        <v>0.0</v>
      </c>
      <c r="K19" s="10" t="s">
        <v>40</v>
      </c>
      <c r="L19" s="10"/>
      <c r="M19" s="27" t="s">
        <v>80</v>
      </c>
      <c r="N19" s="25">
        <v>0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 t="s">
        <v>39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 t="s">
        <v>39</v>
      </c>
      <c r="C22" s="4">
        <v>0</v>
      </c>
      <c r="D22" s="4">
        <v>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192000</v>
      </c>
      <c r="P22" s="10"/>
      <c r="Q22" s="10"/>
    </row>
    <row r="23" spans="1:19">
      <c r="A23" s="6">
        <v>30</v>
      </c>
      <c r="B23" s="4" t="s">
        <v>39</v>
      </c>
      <c r="C23" s="4">
        <v>0</v>
      </c>
      <c r="D23" s="4">
        <v>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>
        <v>1</v>
      </c>
      <c r="C24" s="4">
        <v>1</v>
      </c>
      <c r="D24" s="4">
        <v>12</v>
      </c>
      <c r="E24" s="4">
        <v>8.0</v>
      </c>
      <c r="F24" s="4">
        <v>1.0</v>
      </c>
      <c r="G24" s="4">
        <v>3.0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>
        <v>2</v>
      </c>
      <c r="C25" s="4">
        <v>1</v>
      </c>
      <c r="D25" s="4">
        <v>12</v>
      </c>
      <c r="E25" s="4">
        <v>8.0</v>
      </c>
      <c r="F25" s="4">
        <v>1.0</v>
      </c>
      <c r="G25" s="4">
        <v>3.0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>
        <v>3</v>
      </c>
      <c r="C26" s="4">
        <v>1</v>
      </c>
      <c r="D26" s="4">
        <v>12</v>
      </c>
      <c r="E26" s="4">
        <v>8.0</v>
      </c>
      <c r="F26" s="4">
        <v>1.0</v>
      </c>
      <c r="G26" s="4">
        <v>3.0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>
        <v>4</v>
      </c>
      <c r="C27" s="4">
        <v>1</v>
      </c>
      <c r="D27" s="4">
        <v>12</v>
      </c>
      <c r="E27" s="4">
        <v>8.0</v>
      </c>
      <c r="F27" s="4">
        <v>1.0</v>
      </c>
      <c r="G27" s="4">
        <v>3.0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>
        <v>5</v>
      </c>
      <c r="C28" s="4">
        <v>1</v>
      </c>
      <c r="D28" s="4">
        <v>12</v>
      </c>
      <c r="E28" s="4">
        <v>8.0</v>
      </c>
      <c r="F28" s="4">
        <v>1.0</v>
      </c>
      <c r="G28" s="4">
        <v>3.0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>
        <v>6</v>
      </c>
      <c r="C29" s="4">
        <v>1</v>
      </c>
      <c r="D29" s="4">
        <v>12</v>
      </c>
      <c r="E29" s="4">
        <v>8.0</v>
      </c>
      <c r="F29" s="4">
        <v>1.0</v>
      </c>
      <c r="G29" s="4">
        <v>3.0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4190893.55</v>
      </c>
      <c r="P29" s="10"/>
      <c r="Q29" s="10"/>
    </row>
    <row r="30" spans="1:19">
      <c r="A30" s="6">
        <v>7</v>
      </c>
      <c r="B30" s="4">
        <v>7</v>
      </c>
      <c r="C30" s="4">
        <v>1</v>
      </c>
      <c r="D30" s="4">
        <v>12</v>
      </c>
      <c r="E30" s="4">
        <v>8.0</v>
      </c>
      <c r="F30" s="4">
        <v>1.0</v>
      </c>
      <c r="G30" s="4">
        <v>3.0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75</v>
      </c>
      <c r="N31" s="28" t="s">
        <v>52</v>
      </c>
      <c r="O31" s="25">
        <f>ROUNDDOWN(-(0.00),0)</f>
        <v>0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39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 t="s">
        <v>39</v>
      </c>
      <c r="C37" s="4">
        <v>0</v>
      </c>
      <c r="D37" s="4">
        <v>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3850831.0</v>
      </c>
      <c r="P37" s="10"/>
      <c r="Q37" s="10"/>
    </row>
    <row r="38" spans="1:19">
      <c r="A38" s="6">
        <v>15</v>
      </c>
      <c r="B38" s="4">
        <v>1</v>
      </c>
      <c r="C38" s="4">
        <v>1</v>
      </c>
      <c r="D38" s="4">
        <v>12</v>
      </c>
      <c r="E38" s="4">
        <v>8.0</v>
      </c>
      <c r="F38" s="4">
        <v>1.0</v>
      </c>
      <c r="G38" s="4">
        <v>3.0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12</v>
      </c>
      <c r="D39" s="9">
        <v>144</v>
      </c>
      <c r="E39" s="9">
        <v>96.0</v>
      </c>
      <c r="F39" s="9">
        <v>12.0</v>
      </c>
      <c r="G39" s="9">
        <v>36.0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48.0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-31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3850800.0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89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92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93</v>
      </c>
      <c r="N4" s="10" t="s">
        <v>5</v>
      </c>
      <c r="O4" s="10">
        <v>251100066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83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78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94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 t="s">
        <v>39</v>
      </c>
      <c r="C9" s="4">
        <v>0</v>
      </c>
      <c r="D9" s="4">
        <v>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2032249.0</v>
      </c>
      <c r="P9" s="10"/>
      <c r="Q9" s="10"/>
    </row>
    <row r="10" spans="1:19">
      <c r="A10" s="6">
        <v>17</v>
      </c>
      <c r="B10" s="4" t="s">
        <v>39</v>
      </c>
      <c r="C10" s="4">
        <v>0</v>
      </c>
      <c r="D10" s="4">
        <v>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K10" s="10" t="s">
        <v>27</v>
      </c>
      <c r="L10" s="10"/>
      <c r="M10" s="25" t="s">
        <v>71</v>
      </c>
      <c r="N10" s="25">
        <v>352413.05</v>
      </c>
      <c r="O10" s="25"/>
      <c r="P10" s="10"/>
      <c r="Q10" s="10"/>
    </row>
    <row r="11" spans="1:19">
      <c r="A11" s="6">
        <v>18</v>
      </c>
      <c r="B11" s="4" t="s">
        <v>39</v>
      </c>
      <c r="C11" s="4">
        <v>0</v>
      </c>
      <c r="D11" s="4">
        <v>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K11" s="10" t="s">
        <v>29</v>
      </c>
      <c r="L11" s="10"/>
      <c r="M11" s="25" t="s">
        <v>72</v>
      </c>
      <c r="N11" s="25">
        <v>1409652.21</v>
      </c>
      <c r="O11" s="25"/>
      <c r="P11" s="10"/>
      <c r="Q11" s="10"/>
    </row>
    <row r="12" spans="1:19">
      <c r="A12" s="6">
        <v>19</v>
      </c>
      <c r="B12" s="4" t="s">
        <v>39</v>
      </c>
      <c r="C12" s="4">
        <v>0</v>
      </c>
      <c r="D12" s="4">
        <v>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 t="s">
        <v>39</v>
      </c>
      <c r="C13" s="4">
        <v>0</v>
      </c>
      <c r="D13" s="4">
        <v>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 t="s">
        <v>39</v>
      </c>
      <c r="C14" s="4">
        <v>0</v>
      </c>
      <c r="D14" s="4">
        <v>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1762065.0</v>
      </c>
      <c r="P14" s="10"/>
      <c r="Q14" s="10"/>
    </row>
    <row r="15" spans="1:19">
      <c r="A15" s="6">
        <v>22</v>
      </c>
      <c r="B15" s="4">
        <v>1</v>
      </c>
      <c r="C15" s="4" t="s">
        <v>25</v>
      </c>
      <c r="D15" s="4">
        <v>12</v>
      </c>
      <c r="E15" s="4">
        <v>8.0</v>
      </c>
      <c r="F15" s="4">
        <v>1.0</v>
      </c>
      <c r="G15" s="4">
        <v>3.0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>
        <v>2</v>
      </c>
      <c r="C16" s="4" t="s">
        <v>25</v>
      </c>
      <c r="D16" s="4">
        <v>12</v>
      </c>
      <c r="E16" s="4">
        <v>8.0</v>
      </c>
      <c r="F16" s="4">
        <v>1.0</v>
      </c>
      <c r="G16" s="4">
        <v>3.0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>
        <v>3</v>
      </c>
      <c r="C17" s="4" t="s">
        <v>25</v>
      </c>
      <c r="D17" s="4">
        <v>12</v>
      </c>
      <c r="E17" s="4">
        <v>8.0</v>
      </c>
      <c r="F17" s="4">
        <v>1.0</v>
      </c>
      <c r="G17" s="4">
        <v>3.0</v>
      </c>
      <c r="H17" s="4">
        <v>0.0</v>
      </c>
      <c r="I17" s="4">
        <v>0.0</v>
      </c>
      <c r="K17" s="10" t="s">
        <v>36</v>
      </c>
      <c r="L17" s="10"/>
      <c r="M17" s="27" t="s">
        <v>73</v>
      </c>
      <c r="N17" s="25">
        <v>72000</v>
      </c>
      <c r="O17" s="25"/>
      <c r="P17" s="10"/>
      <c r="Q17" s="10"/>
    </row>
    <row r="18" spans="1:19">
      <c r="A18" s="6">
        <v>25</v>
      </c>
      <c r="B18" s="4">
        <v>4</v>
      </c>
      <c r="C18" s="4" t="s">
        <v>25</v>
      </c>
      <c r="D18" s="4">
        <v>12</v>
      </c>
      <c r="E18" s="4">
        <v>8.0</v>
      </c>
      <c r="F18" s="4">
        <v>1.0</v>
      </c>
      <c r="G18" s="4">
        <v>3.0</v>
      </c>
      <c r="H18" s="4">
        <v>0.0</v>
      </c>
      <c r="I18" s="4">
        <v>0.0</v>
      </c>
      <c r="K18" s="10" t="s">
        <v>38</v>
      </c>
      <c r="L18" s="10"/>
      <c r="M18" s="27" t="s">
        <v>73</v>
      </c>
      <c r="N18" s="25">
        <v>120000</v>
      </c>
      <c r="O18" s="25"/>
      <c r="P18" s="10"/>
      <c r="Q18" s="10"/>
    </row>
    <row r="19" spans="1:19">
      <c r="A19" s="6">
        <v>26</v>
      </c>
      <c r="B19" s="4">
        <v>5</v>
      </c>
      <c r="C19" s="4" t="s">
        <v>25</v>
      </c>
      <c r="D19" s="4">
        <v>12</v>
      </c>
      <c r="E19" s="4">
        <v>8.0</v>
      </c>
      <c r="F19" s="4">
        <v>1.0</v>
      </c>
      <c r="G19" s="4">
        <v>3.0</v>
      </c>
      <c r="H19" s="4">
        <v>0.0</v>
      </c>
      <c r="I19" s="4">
        <v>0.0</v>
      </c>
      <c r="K19" s="10" t="s">
        <v>40</v>
      </c>
      <c r="L19" s="10"/>
      <c r="M19" s="27" t="s">
        <v>73</v>
      </c>
      <c r="N19" s="25">
        <v>304837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 t="s">
        <v>39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 t="s">
        <v>39</v>
      </c>
      <c r="C22" s="4">
        <v>0</v>
      </c>
      <c r="D22" s="4">
        <v>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496837</v>
      </c>
      <c r="P22" s="10"/>
      <c r="Q22" s="10"/>
    </row>
    <row r="23" spans="1:19">
      <c r="A23" s="6">
        <v>30</v>
      </c>
      <c r="B23" s="4">
        <v>1</v>
      </c>
      <c r="C23" s="4" t="s">
        <v>25</v>
      </c>
      <c r="D23" s="4">
        <v>12</v>
      </c>
      <c r="E23" s="4">
        <v>8.0</v>
      </c>
      <c r="F23" s="4">
        <v>1.0</v>
      </c>
      <c r="G23" s="4">
        <v>3.0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>
        <v>2</v>
      </c>
      <c r="C24" s="4" t="s">
        <v>25</v>
      </c>
      <c r="D24" s="4">
        <v>12</v>
      </c>
      <c r="E24" s="4">
        <v>8.0</v>
      </c>
      <c r="F24" s="4">
        <v>1.0</v>
      </c>
      <c r="G24" s="4">
        <v>3.0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>
        <v>3</v>
      </c>
      <c r="C25" s="4" t="s">
        <v>25</v>
      </c>
      <c r="D25" s="4">
        <v>12</v>
      </c>
      <c r="E25" s="4">
        <v>8.0</v>
      </c>
      <c r="F25" s="4">
        <v>1.0</v>
      </c>
      <c r="G25" s="4">
        <v>3.0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>
        <v>4</v>
      </c>
      <c r="C26" s="4" t="s">
        <v>25</v>
      </c>
      <c r="D26" s="4">
        <v>12</v>
      </c>
      <c r="E26" s="4">
        <v>8.0</v>
      </c>
      <c r="F26" s="4">
        <v>1.0</v>
      </c>
      <c r="G26" s="4">
        <v>3.0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>
        <v>5</v>
      </c>
      <c r="C27" s="4" t="s">
        <v>25</v>
      </c>
      <c r="D27" s="4">
        <v>12</v>
      </c>
      <c r="E27" s="4">
        <v>8.0</v>
      </c>
      <c r="F27" s="4">
        <v>1.0</v>
      </c>
      <c r="G27" s="4">
        <v>3.0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>
        <v>6</v>
      </c>
      <c r="C28" s="4" t="s">
        <v>25</v>
      </c>
      <c r="D28" s="4">
        <v>12</v>
      </c>
      <c r="E28" s="4">
        <v>8.0</v>
      </c>
      <c r="F28" s="4">
        <v>1.0</v>
      </c>
      <c r="G28" s="4">
        <v>3.0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>
        <v>7</v>
      </c>
      <c r="C29" s="4" t="s">
        <v>25</v>
      </c>
      <c r="D29" s="4">
        <v>12</v>
      </c>
      <c r="E29" s="4">
        <v>8.0</v>
      </c>
      <c r="F29" s="4">
        <v>1.0</v>
      </c>
      <c r="G29" s="4">
        <v>3.0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4495730.55</v>
      </c>
      <c r="P29" s="10"/>
      <c r="Q29" s="10"/>
    </row>
    <row r="30" spans="1:19">
      <c r="A30" s="6">
        <v>7</v>
      </c>
      <c r="B30" s="4" t="s">
        <v>39</v>
      </c>
      <c r="C30" s="4">
        <v>0</v>
      </c>
      <c r="D30" s="4">
        <v>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51</v>
      </c>
      <c r="N31" s="28" t="s">
        <v>52</v>
      </c>
      <c r="O31" s="25">
        <f>ROUNDDOWN(-(0.00),0)</f>
        <v>0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39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 t="s">
        <v>39</v>
      </c>
      <c r="C37" s="4">
        <v>0</v>
      </c>
      <c r="D37" s="4">
        <v>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4155668.0</v>
      </c>
      <c r="P37" s="10"/>
      <c r="Q37" s="10"/>
    </row>
    <row r="38" spans="1:19">
      <c r="A38" s="6">
        <v>15</v>
      </c>
      <c r="B38" s="4" t="s">
        <v>39</v>
      </c>
      <c r="C38" s="4">
        <v>0</v>
      </c>
      <c r="D38" s="4">
        <v>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12</v>
      </c>
      <c r="D39" s="9">
        <v>144</v>
      </c>
      <c r="E39" s="9">
        <v>96.0</v>
      </c>
      <c r="F39" s="9">
        <v>12.0</v>
      </c>
      <c r="G39" s="9">
        <v>36.0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48.0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32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4155700.0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93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95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96</v>
      </c>
      <c r="N4" s="10" t="s">
        <v>5</v>
      </c>
      <c r="O4" s="10">
        <v>251100074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90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69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97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>
        <v>1</v>
      </c>
      <c r="C9" s="4" t="s">
        <v>25</v>
      </c>
      <c r="D9" s="4">
        <v>12</v>
      </c>
      <c r="E9" s="4">
        <v>8.0</v>
      </c>
      <c r="F9" s="4">
        <v>1.0</v>
      </c>
      <c r="G9" s="4">
        <v>3.0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338708.0</v>
      </c>
      <c r="P9" s="10"/>
      <c r="Q9" s="10"/>
    </row>
    <row r="10" spans="1:19">
      <c r="A10" s="6">
        <v>17</v>
      </c>
      <c r="B10" s="4" t="s">
        <v>39</v>
      </c>
      <c r="C10" s="4">
        <v>0</v>
      </c>
      <c r="D10" s="4">
        <v>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K10" s="10" t="s">
        <v>27</v>
      </c>
      <c r="L10" s="10"/>
      <c r="M10" s="25" t="s">
        <v>98</v>
      </c>
      <c r="N10" s="25">
        <v>58735.51</v>
      </c>
      <c r="O10" s="25"/>
      <c r="P10" s="10"/>
      <c r="Q10" s="10"/>
    </row>
    <row r="11" spans="1:19">
      <c r="A11" s="6">
        <v>18</v>
      </c>
      <c r="B11" s="4" t="s">
        <v>39</v>
      </c>
      <c r="C11" s="4">
        <v>0</v>
      </c>
      <c r="D11" s="4">
        <v>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K11" s="10" t="s">
        <v>29</v>
      </c>
      <c r="L11" s="10"/>
      <c r="M11" s="25" t="s">
        <v>99</v>
      </c>
      <c r="N11" s="25">
        <v>234942.03</v>
      </c>
      <c r="O11" s="25"/>
      <c r="P11" s="10"/>
      <c r="Q11" s="10"/>
    </row>
    <row r="12" spans="1:19">
      <c r="A12" s="6">
        <v>19</v>
      </c>
      <c r="B12" s="4" t="s">
        <v>39</v>
      </c>
      <c r="C12" s="4">
        <v>0</v>
      </c>
      <c r="D12" s="4">
        <v>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 t="s">
        <v>39</v>
      </c>
      <c r="C13" s="4">
        <v>0</v>
      </c>
      <c r="D13" s="4">
        <v>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 t="s">
        <v>39</v>
      </c>
      <c r="C14" s="4">
        <v>0</v>
      </c>
      <c r="D14" s="4">
        <v>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293678.0</v>
      </c>
      <c r="P14" s="10"/>
      <c r="Q14" s="10"/>
    </row>
    <row r="15" spans="1:19">
      <c r="A15" s="6">
        <v>22</v>
      </c>
      <c r="B15" s="4" t="s">
        <v>39</v>
      </c>
      <c r="C15" s="4">
        <v>0</v>
      </c>
      <c r="D15" s="4">
        <v>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 t="s">
        <v>39</v>
      </c>
      <c r="C16" s="4">
        <v>0</v>
      </c>
      <c r="D16" s="4">
        <v>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 t="s">
        <v>39</v>
      </c>
      <c r="C17" s="4">
        <v>0</v>
      </c>
      <c r="D17" s="4">
        <v>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K17" s="10" t="s">
        <v>36</v>
      </c>
      <c r="L17" s="10"/>
      <c r="M17" s="27" t="s">
        <v>100</v>
      </c>
      <c r="N17" s="25">
        <v>12000</v>
      </c>
      <c r="O17" s="25"/>
      <c r="P17" s="10"/>
      <c r="Q17" s="10"/>
    </row>
    <row r="18" spans="1:19">
      <c r="A18" s="6">
        <v>25</v>
      </c>
      <c r="B18" s="4" t="s">
        <v>39</v>
      </c>
      <c r="C18" s="4">
        <v>0</v>
      </c>
      <c r="D18" s="4">
        <v>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K18" s="10" t="s">
        <v>38</v>
      </c>
      <c r="L18" s="10"/>
      <c r="M18" s="27" t="s">
        <v>100</v>
      </c>
      <c r="N18" s="25">
        <v>20000</v>
      </c>
      <c r="O18" s="25"/>
      <c r="P18" s="10"/>
      <c r="Q18" s="10"/>
    </row>
    <row r="19" spans="1:19">
      <c r="A19" s="6">
        <v>26</v>
      </c>
      <c r="B19" s="4" t="s">
        <v>39</v>
      </c>
      <c r="C19" s="4">
        <v>0</v>
      </c>
      <c r="D19" s="4">
        <v>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K19" s="10" t="s">
        <v>40</v>
      </c>
      <c r="L19" s="10"/>
      <c r="M19" s="27" t="s">
        <v>101</v>
      </c>
      <c r="N19" s="25">
        <v>25403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 t="s">
        <v>39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 t="s">
        <v>39</v>
      </c>
      <c r="C22" s="4">
        <v>0</v>
      </c>
      <c r="D22" s="4">
        <v>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57403</v>
      </c>
      <c r="P22" s="10"/>
      <c r="Q22" s="10"/>
    </row>
    <row r="23" spans="1:19">
      <c r="A23" s="6">
        <v>30</v>
      </c>
      <c r="B23" s="4" t="s">
        <v>39</v>
      </c>
      <c r="C23" s="4">
        <v>0</v>
      </c>
      <c r="D23" s="4">
        <v>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 t="s">
        <v>39</v>
      </c>
      <c r="C24" s="4">
        <v>0</v>
      </c>
      <c r="D24" s="4">
        <v>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 t="s">
        <v>39</v>
      </c>
      <c r="C25" s="4">
        <v>0</v>
      </c>
      <c r="D25" s="4">
        <v>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 t="s">
        <v>39</v>
      </c>
      <c r="C26" s="4">
        <v>0</v>
      </c>
      <c r="D26" s="4">
        <v>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 t="s">
        <v>39</v>
      </c>
      <c r="C27" s="4">
        <v>0</v>
      </c>
      <c r="D27" s="4">
        <v>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 t="s">
        <v>39</v>
      </c>
      <c r="C28" s="4">
        <v>0</v>
      </c>
      <c r="D28" s="4">
        <v>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 t="s">
        <v>39</v>
      </c>
      <c r="C29" s="4">
        <v>0</v>
      </c>
      <c r="D29" s="4">
        <v>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894368.33</v>
      </c>
      <c r="P29" s="10"/>
      <c r="Q29" s="10"/>
    </row>
    <row r="30" spans="1:19">
      <c r="A30" s="6">
        <v>7</v>
      </c>
      <c r="B30" s="4">
        <v>1</v>
      </c>
      <c r="C30" s="4">
        <v>1</v>
      </c>
      <c r="D30" s="4">
        <v>12</v>
      </c>
      <c r="E30" s="4">
        <v>8.0</v>
      </c>
      <c r="F30" s="4">
        <v>1.0</v>
      </c>
      <c r="G30" s="4">
        <v>3.0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75</v>
      </c>
      <c r="N31" s="28" t="s">
        <v>52</v>
      </c>
      <c r="O31" s="25">
        <f>ROUNDDOWN(-(0.00),0)</f>
        <v>0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39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 t="s">
        <v>39</v>
      </c>
      <c r="C37" s="4">
        <v>0</v>
      </c>
      <c r="D37" s="4">
        <v>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554305.0</v>
      </c>
      <c r="P37" s="10"/>
      <c r="Q37" s="10"/>
    </row>
    <row r="38" spans="1:19">
      <c r="A38" s="6">
        <v>15</v>
      </c>
      <c r="B38" s="4" t="s">
        <v>39</v>
      </c>
      <c r="C38" s="4">
        <v>0</v>
      </c>
      <c r="D38" s="4">
        <v>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2</v>
      </c>
      <c r="D39" s="9">
        <v>24</v>
      </c>
      <c r="E39" s="9">
        <v>16.0</v>
      </c>
      <c r="F39" s="9">
        <v>2.0</v>
      </c>
      <c r="G39" s="9">
        <v>6.0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8.0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-5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554300.0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96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102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103</v>
      </c>
      <c r="N4" s="10" t="s">
        <v>5</v>
      </c>
      <c r="O4" s="10">
        <v>251100052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68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69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104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 t="s">
        <v>39</v>
      </c>
      <c r="C9" s="4">
        <v>0</v>
      </c>
      <c r="D9" s="4">
        <v>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508062.0</v>
      </c>
      <c r="P9" s="10"/>
      <c r="Q9" s="10"/>
    </row>
    <row r="10" spans="1:19">
      <c r="A10" s="6">
        <v>17</v>
      </c>
      <c r="B10" s="4" t="s">
        <v>39</v>
      </c>
      <c r="C10" s="4">
        <v>0</v>
      </c>
      <c r="D10" s="4">
        <v>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K10" s="10" t="s">
        <v>27</v>
      </c>
      <c r="L10" s="10"/>
      <c r="M10" s="25" t="s">
        <v>105</v>
      </c>
      <c r="N10" s="25">
        <v>88103.26</v>
      </c>
      <c r="O10" s="25"/>
      <c r="P10" s="10"/>
      <c r="Q10" s="10"/>
    </row>
    <row r="11" spans="1:19">
      <c r="A11" s="6">
        <v>18</v>
      </c>
      <c r="B11" s="4" t="s">
        <v>39</v>
      </c>
      <c r="C11" s="4">
        <v>0</v>
      </c>
      <c r="D11" s="4">
        <v>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K11" s="10" t="s">
        <v>29</v>
      </c>
      <c r="L11" s="10"/>
      <c r="M11" s="25" t="s">
        <v>106</v>
      </c>
      <c r="N11" s="25">
        <v>352413.05</v>
      </c>
      <c r="O11" s="25"/>
      <c r="P11" s="10"/>
      <c r="Q11" s="10"/>
    </row>
    <row r="12" spans="1:19">
      <c r="A12" s="6">
        <v>19</v>
      </c>
      <c r="B12" s="4" t="s">
        <v>39</v>
      </c>
      <c r="C12" s="4">
        <v>0</v>
      </c>
      <c r="D12" s="4">
        <v>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 t="s">
        <v>39</v>
      </c>
      <c r="C13" s="4">
        <v>0</v>
      </c>
      <c r="D13" s="4">
        <v>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 t="s">
        <v>39</v>
      </c>
      <c r="C14" s="4">
        <v>0</v>
      </c>
      <c r="D14" s="4">
        <v>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440516.0</v>
      </c>
      <c r="P14" s="10"/>
      <c r="Q14" s="10"/>
    </row>
    <row r="15" spans="1:19">
      <c r="A15" s="6">
        <v>22</v>
      </c>
      <c r="B15" s="4">
        <v>1</v>
      </c>
      <c r="C15" s="4" t="s">
        <v>25</v>
      </c>
      <c r="D15" s="4">
        <v>12</v>
      </c>
      <c r="E15" s="4">
        <v>8.0</v>
      </c>
      <c r="F15" s="4">
        <v>1.0</v>
      </c>
      <c r="G15" s="4">
        <v>3.0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>
        <v>2</v>
      </c>
      <c r="C16" s="4" t="s">
        <v>25</v>
      </c>
      <c r="D16" s="4">
        <v>12</v>
      </c>
      <c r="E16" s="4">
        <v>8.0</v>
      </c>
      <c r="F16" s="4">
        <v>1.0</v>
      </c>
      <c r="G16" s="4">
        <v>3.0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>
        <v>3</v>
      </c>
      <c r="C17" s="4" t="s">
        <v>25</v>
      </c>
      <c r="D17" s="4">
        <v>12</v>
      </c>
      <c r="E17" s="4">
        <v>8.0</v>
      </c>
      <c r="F17" s="4">
        <v>1.0</v>
      </c>
      <c r="G17" s="4">
        <v>3.0</v>
      </c>
      <c r="H17" s="4">
        <v>0.0</v>
      </c>
      <c r="I17" s="4">
        <v>0.0</v>
      </c>
      <c r="K17" s="10" t="s">
        <v>36</v>
      </c>
      <c r="L17" s="10"/>
      <c r="M17" s="27" t="s">
        <v>107</v>
      </c>
      <c r="N17" s="25">
        <v>18000</v>
      </c>
      <c r="O17" s="25"/>
      <c r="P17" s="10"/>
      <c r="Q17" s="10"/>
    </row>
    <row r="18" spans="1:19">
      <c r="A18" s="6">
        <v>25</v>
      </c>
      <c r="B18" s="4" t="s">
        <v>39</v>
      </c>
      <c r="C18" s="4">
        <v>0</v>
      </c>
      <c r="D18" s="4">
        <v>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K18" s="10" t="s">
        <v>38</v>
      </c>
      <c r="L18" s="10"/>
      <c r="M18" s="27" t="s">
        <v>107</v>
      </c>
      <c r="N18" s="25">
        <v>30000</v>
      </c>
      <c r="O18" s="25"/>
      <c r="P18" s="10"/>
      <c r="Q18" s="10"/>
    </row>
    <row r="19" spans="1:19">
      <c r="A19" s="6">
        <v>26</v>
      </c>
      <c r="B19" s="4" t="s">
        <v>39</v>
      </c>
      <c r="C19" s="4">
        <v>0</v>
      </c>
      <c r="D19" s="4">
        <v>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K19" s="10" t="s">
        <v>40</v>
      </c>
      <c r="L19" s="10"/>
      <c r="M19" s="27" t="s">
        <v>107</v>
      </c>
      <c r="N19" s="25">
        <v>76209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 t="s">
        <v>39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 t="s">
        <v>39</v>
      </c>
      <c r="C22" s="4">
        <v>0</v>
      </c>
      <c r="D22" s="4">
        <v>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124209</v>
      </c>
      <c r="P22" s="10"/>
      <c r="Q22" s="10"/>
    </row>
    <row r="23" spans="1:19">
      <c r="A23" s="6">
        <v>30</v>
      </c>
      <c r="B23" s="4" t="s">
        <v>39</v>
      </c>
      <c r="C23" s="4">
        <v>0</v>
      </c>
      <c r="D23" s="4">
        <v>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 t="s">
        <v>39</v>
      </c>
      <c r="C24" s="4">
        <v>0</v>
      </c>
      <c r="D24" s="4">
        <v>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 t="s">
        <v>39</v>
      </c>
      <c r="C25" s="4">
        <v>0</v>
      </c>
      <c r="D25" s="4">
        <v>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 t="s">
        <v>39</v>
      </c>
      <c r="C26" s="4">
        <v>0</v>
      </c>
      <c r="D26" s="4">
        <v>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 t="s">
        <v>39</v>
      </c>
      <c r="C27" s="4">
        <v>0</v>
      </c>
      <c r="D27" s="4">
        <v>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 t="s">
        <v>39</v>
      </c>
      <c r="C28" s="4">
        <v>0</v>
      </c>
      <c r="D28" s="4">
        <v>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 t="s">
        <v>39</v>
      </c>
      <c r="C29" s="4">
        <v>0</v>
      </c>
      <c r="D29" s="4">
        <v>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1277367.15</v>
      </c>
      <c r="P29" s="10"/>
      <c r="Q29" s="10"/>
    </row>
    <row r="30" spans="1:19">
      <c r="A30" s="6">
        <v>7</v>
      </c>
      <c r="B30" s="4" t="s">
        <v>39</v>
      </c>
      <c r="C30" s="4">
        <v>0</v>
      </c>
      <c r="D30" s="4">
        <v>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75</v>
      </c>
      <c r="N31" s="28" t="s">
        <v>52</v>
      </c>
      <c r="O31" s="25">
        <f>ROUNDDOWN(-(0.00),0)</f>
        <v>0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39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 t="s">
        <v>39</v>
      </c>
      <c r="C37" s="4">
        <v>0</v>
      </c>
      <c r="D37" s="4">
        <v>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937304.0</v>
      </c>
      <c r="P37" s="10"/>
      <c r="Q37" s="10"/>
    </row>
    <row r="38" spans="1:19">
      <c r="A38" s="6">
        <v>15</v>
      </c>
      <c r="B38" s="4" t="s">
        <v>39</v>
      </c>
      <c r="C38" s="4">
        <v>0</v>
      </c>
      <c r="D38" s="4">
        <v>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3</v>
      </c>
      <c r="D39" s="9">
        <v>36</v>
      </c>
      <c r="E39" s="9">
        <v>24.0</v>
      </c>
      <c r="F39" s="9">
        <v>3.0</v>
      </c>
      <c r="G39" s="9">
        <v>9.0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12.0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-4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937300.0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103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108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109</v>
      </c>
      <c r="N4" s="10" t="s">
        <v>5</v>
      </c>
      <c r="O4" s="10">
        <v>251100075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110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69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84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>
        <v>1</v>
      </c>
      <c r="C9" s="4">
        <v>1</v>
      </c>
      <c r="D9" s="4">
        <v>12</v>
      </c>
      <c r="E9" s="4">
        <v>8.0</v>
      </c>
      <c r="F9" s="4">
        <v>1.0</v>
      </c>
      <c r="G9" s="4">
        <v>3.0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1354832.0</v>
      </c>
      <c r="P9" s="10"/>
      <c r="Q9" s="10"/>
    </row>
    <row r="10" spans="1:19">
      <c r="A10" s="6">
        <v>17</v>
      </c>
      <c r="B10" s="4">
        <v>2</v>
      </c>
      <c r="C10" s="4">
        <v>1</v>
      </c>
      <c r="D10" s="4">
        <v>12</v>
      </c>
      <c r="E10" s="4">
        <v>8.0</v>
      </c>
      <c r="F10" s="4">
        <v>1.0</v>
      </c>
      <c r="G10" s="4">
        <v>3.0</v>
      </c>
      <c r="H10" s="4">
        <v>0.0</v>
      </c>
      <c r="I10" s="4">
        <v>0.0</v>
      </c>
      <c r="K10" s="10" t="s">
        <v>27</v>
      </c>
      <c r="L10" s="10"/>
      <c r="M10" s="25" t="s">
        <v>85</v>
      </c>
      <c r="N10" s="25">
        <v>234942.03</v>
      </c>
      <c r="O10" s="25"/>
      <c r="P10" s="10"/>
      <c r="Q10" s="10"/>
    </row>
    <row r="11" spans="1:19">
      <c r="A11" s="6">
        <v>18</v>
      </c>
      <c r="B11" s="4">
        <v>3</v>
      </c>
      <c r="C11" s="4">
        <v>1</v>
      </c>
      <c r="D11" s="4">
        <v>12</v>
      </c>
      <c r="E11" s="4">
        <v>8.0</v>
      </c>
      <c r="F11" s="4">
        <v>1.0</v>
      </c>
      <c r="G11" s="4">
        <v>3.0</v>
      </c>
      <c r="H11" s="4">
        <v>0.0</v>
      </c>
      <c r="I11" s="4">
        <v>0.0</v>
      </c>
      <c r="K11" s="10" t="s">
        <v>29</v>
      </c>
      <c r="L11" s="10"/>
      <c r="M11" s="25" t="s">
        <v>86</v>
      </c>
      <c r="N11" s="25">
        <v>939768.14</v>
      </c>
      <c r="O11" s="25"/>
      <c r="P11" s="10"/>
      <c r="Q11" s="10"/>
    </row>
    <row r="12" spans="1:19">
      <c r="A12" s="6">
        <v>19</v>
      </c>
      <c r="B12" s="4">
        <v>4</v>
      </c>
      <c r="C12" s="4">
        <v>1</v>
      </c>
      <c r="D12" s="4">
        <v>12</v>
      </c>
      <c r="E12" s="4">
        <v>8.0</v>
      </c>
      <c r="F12" s="4">
        <v>1.0</v>
      </c>
      <c r="G12" s="4">
        <v>3.0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>
        <v>5</v>
      </c>
      <c r="C13" s="4">
        <v>1</v>
      </c>
      <c r="D13" s="4">
        <v>12</v>
      </c>
      <c r="E13" s="4">
        <v>8.0</v>
      </c>
      <c r="F13" s="4">
        <v>1.0</v>
      </c>
      <c r="G13" s="4">
        <v>3.0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>
        <v>6</v>
      </c>
      <c r="C14" s="4">
        <v>1</v>
      </c>
      <c r="D14" s="4">
        <v>12</v>
      </c>
      <c r="E14" s="4">
        <v>8.0</v>
      </c>
      <c r="F14" s="4">
        <v>1.0</v>
      </c>
      <c r="G14" s="4">
        <v>3.0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1174710.0</v>
      </c>
      <c r="P14" s="10"/>
      <c r="Q14" s="10"/>
    </row>
    <row r="15" spans="1:19">
      <c r="A15" s="6">
        <v>22</v>
      </c>
      <c r="B15" s="4">
        <v>7</v>
      </c>
      <c r="C15" s="4">
        <v>1</v>
      </c>
      <c r="D15" s="4">
        <v>12</v>
      </c>
      <c r="E15" s="4">
        <v>8.0</v>
      </c>
      <c r="F15" s="4">
        <v>1.0</v>
      </c>
      <c r="G15" s="4">
        <v>3.0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>
        <v>8</v>
      </c>
      <c r="C16" s="4">
        <v>1</v>
      </c>
      <c r="D16" s="4">
        <v>12</v>
      </c>
      <c r="E16" s="4">
        <v>8.0</v>
      </c>
      <c r="F16" s="4">
        <v>1.0</v>
      </c>
      <c r="G16" s="4">
        <v>3.0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 t="s">
        <v>39</v>
      </c>
      <c r="C17" s="4">
        <v>0</v>
      </c>
      <c r="D17" s="4">
        <v>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K17" s="10" t="s">
        <v>36</v>
      </c>
      <c r="L17" s="10"/>
      <c r="M17" s="27" t="s">
        <v>87</v>
      </c>
      <c r="N17" s="25">
        <v>48000</v>
      </c>
      <c r="O17" s="25"/>
      <c r="P17" s="10"/>
      <c r="Q17" s="10"/>
    </row>
    <row r="18" spans="1:19">
      <c r="A18" s="6">
        <v>25</v>
      </c>
      <c r="B18" s="4" t="s">
        <v>39</v>
      </c>
      <c r="C18" s="4">
        <v>0</v>
      </c>
      <c r="D18" s="4">
        <v>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K18" s="10" t="s">
        <v>38</v>
      </c>
      <c r="L18" s="10"/>
      <c r="M18" s="27" t="s">
        <v>87</v>
      </c>
      <c r="N18" s="25">
        <v>80000</v>
      </c>
      <c r="O18" s="25"/>
      <c r="P18" s="10"/>
      <c r="Q18" s="10"/>
    </row>
    <row r="19" spans="1:19">
      <c r="A19" s="6">
        <v>26</v>
      </c>
      <c r="B19" s="4" t="s">
        <v>39</v>
      </c>
      <c r="C19" s="4">
        <v>0</v>
      </c>
      <c r="D19" s="4">
        <v>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K19" s="10" t="s">
        <v>40</v>
      </c>
      <c r="L19" s="10"/>
      <c r="M19" s="27" t="s">
        <v>80</v>
      </c>
      <c r="N19" s="25">
        <v>0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 t="s">
        <v>39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 t="s">
        <v>39</v>
      </c>
      <c r="C22" s="4">
        <v>0</v>
      </c>
      <c r="D22" s="4">
        <v>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128000</v>
      </c>
      <c r="P22" s="10"/>
      <c r="Q22" s="10"/>
    </row>
    <row r="23" spans="1:19">
      <c r="A23" s="6">
        <v>30</v>
      </c>
      <c r="B23" s="4" t="s">
        <v>39</v>
      </c>
      <c r="C23" s="4">
        <v>0</v>
      </c>
      <c r="D23" s="4">
        <v>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 t="s">
        <v>39</v>
      </c>
      <c r="C24" s="4">
        <v>0</v>
      </c>
      <c r="D24" s="4">
        <v>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 t="s">
        <v>39</v>
      </c>
      <c r="C25" s="4">
        <v>0</v>
      </c>
      <c r="D25" s="4">
        <v>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 t="s">
        <v>39</v>
      </c>
      <c r="C26" s="4">
        <v>0</v>
      </c>
      <c r="D26" s="4">
        <v>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 t="s">
        <v>39</v>
      </c>
      <c r="C27" s="4">
        <v>0</v>
      </c>
      <c r="D27" s="4">
        <v>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 t="s">
        <v>39</v>
      </c>
      <c r="C28" s="4">
        <v>0</v>
      </c>
      <c r="D28" s="4">
        <v>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 t="s">
        <v>39</v>
      </c>
      <c r="C29" s="4">
        <v>0</v>
      </c>
      <c r="D29" s="4">
        <v>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2862122.26</v>
      </c>
      <c r="P29" s="10"/>
      <c r="Q29" s="10"/>
    </row>
    <row r="30" spans="1:19">
      <c r="A30" s="6">
        <v>7</v>
      </c>
      <c r="B30" s="4" t="s">
        <v>39</v>
      </c>
      <c r="C30" s="4">
        <v>0</v>
      </c>
      <c r="D30" s="4">
        <v>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75</v>
      </c>
      <c r="N31" s="28" t="s">
        <v>52</v>
      </c>
      <c r="O31" s="25">
        <f>ROUNDDOWN(-(0.00),0)</f>
        <v>0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39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 t="s">
        <v>39</v>
      </c>
      <c r="C37" s="4">
        <v>0</v>
      </c>
      <c r="D37" s="4">
        <v>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2522059.0</v>
      </c>
      <c r="P37" s="10"/>
      <c r="Q37" s="10"/>
    </row>
    <row r="38" spans="1:19">
      <c r="A38" s="6">
        <v>15</v>
      </c>
      <c r="B38" s="4" t="s">
        <v>39</v>
      </c>
      <c r="C38" s="4">
        <v>0</v>
      </c>
      <c r="D38" s="4">
        <v>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8</v>
      </c>
      <c r="D39" s="9">
        <v>96</v>
      </c>
      <c r="E39" s="9">
        <v>64.0</v>
      </c>
      <c r="F39" s="9">
        <v>8.0</v>
      </c>
      <c r="G39" s="9">
        <v>24.0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32.0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41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2522100.0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109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111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112</v>
      </c>
      <c r="N4" s="10" t="s">
        <v>5</v>
      </c>
      <c r="O4" s="10">
        <v>251100028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113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114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115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>
        <v>1</v>
      </c>
      <c r="C9" s="4" t="s">
        <v>25</v>
      </c>
      <c r="D9" s="4">
        <v>12</v>
      </c>
      <c r="E9" s="4">
        <v>8.0</v>
      </c>
      <c r="F9" s="4">
        <v>1.0</v>
      </c>
      <c r="G9" s="4">
        <v>3.0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2201603.0</v>
      </c>
      <c r="P9" s="10"/>
      <c r="Q9" s="10"/>
    </row>
    <row r="10" spans="1:19">
      <c r="A10" s="6">
        <v>17</v>
      </c>
      <c r="B10" s="4" t="s">
        <v>39</v>
      </c>
      <c r="C10" s="4">
        <v>0</v>
      </c>
      <c r="D10" s="4">
        <v>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K10" s="10" t="s">
        <v>27</v>
      </c>
      <c r="L10" s="10"/>
      <c r="M10" s="25" t="s">
        <v>116</v>
      </c>
      <c r="N10" s="25">
        <v>381780.81</v>
      </c>
      <c r="O10" s="25"/>
      <c r="P10" s="10"/>
      <c r="Q10" s="10"/>
    </row>
    <row r="11" spans="1:19">
      <c r="A11" s="6">
        <v>18</v>
      </c>
      <c r="B11" s="4" t="s">
        <v>39</v>
      </c>
      <c r="C11" s="4">
        <v>0</v>
      </c>
      <c r="D11" s="4">
        <v>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K11" s="10" t="s">
        <v>29</v>
      </c>
      <c r="L11" s="10"/>
      <c r="M11" s="25" t="s">
        <v>117</v>
      </c>
      <c r="N11" s="25">
        <v>1527123.23</v>
      </c>
      <c r="O11" s="25"/>
      <c r="P11" s="10"/>
      <c r="Q11" s="10"/>
    </row>
    <row r="12" spans="1:19">
      <c r="A12" s="6">
        <v>19</v>
      </c>
      <c r="B12" s="4" t="s">
        <v>39</v>
      </c>
      <c r="C12" s="4">
        <v>0</v>
      </c>
      <c r="D12" s="4">
        <v>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 t="s">
        <v>39</v>
      </c>
      <c r="C13" s="4">
        <v>0</v>
      </c>
      <c r="D13" s="4">
        <v>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>
        <v>1</v>
      </c>
      <c r="C14" s="4">
        <v>1</v>
      </c>
      <c r="D14" s="4">
        <v>12</v>
      </c>
      <c r="E14" s="4">
        <v>8.0</v>
      </c>
      <c r="F14" s="4">
        <v>1.0</v>
      </c>
      <c r="G14" s="4">
        <v>3.0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1908904.0</v>
      </c>
      <c r="P14" s="10"/>
      <c r="Q14" s="10"/>
    </row>
    <row r="15" spans="1:19">
      <c r="A15" s="6">
        <v>22</v>
      </c>
      <c r="B15" s="4">
        <v>2</v>
      </c>
      <c r="C15" s="4">
        <v>1</v>
      </c>
      <c r="D15" s="4">
        <v>12</v>
      </c>
      <c r="E15" s="4">
        <v>8.0</v>
      </c>
      <c r="F15" s="4">
        <v>1.0</v>
      </c>
      <c r="G15" s="4">
        <v>3.0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>
        <v>3</v>
      </c>
      <c r="C16" s="4">
        <v>1</v>
      </c>
      <c r="D16" s="4">
        <v>12</v>
      </c>
      <c r="E16" s="4">
        <v>8.0</v>
      </c>
      <c r="F16" s="4">
        <v>1.0</v>
      </c>
      <c r="G16" s="4">
        <v>3.0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>
        <v>4</v>
      </c>
      <c r="C17" s="4">
        <v>1</v>
      </c>
      <c r="D17" s="4">
        <v>12</v>
      </c>
      <c r="E17" s="4">
        <v>8.0</v>
      </c>
      <c r="F17" s="4">
        <v>1.0</v>
      </c>
      <c r="G17" s="4">
        <v>3.0</v>
      </c>
      <c r="H17" s="4">
        <v>0.0</v>
      </c>
      <c r="I17" s="4">
        <v>0.0</v>
      </c>
      <c r="K17" s="10" t="s">
        <v>36</v>
      </c>
      <c r="L17" s="10"/>
      <c r="M17" s="27" t="s">
        <v>118</v>
      </c>
      <c r="N17" s="25">
        <v>78000</v>
      </c>
      <c r="O17" s="25"/>
      <c r="P17" s="10"/>
      <c r="Q17" s="10"/>
    </row>
    <row r="18" spans="1:19">
      <c r="A18" s="6">
        <v>25</v>
      </c>
      <c r="B18" s="4">
        <v>5</v>
      </c>
      <c r="C18" s="4">
        <v>1</v>
      </c>
      <c r="D18" s="4">
        <v>12</v>
      </c>
      <c r="E18" s="4">
        <v>8.0</v>
      </c>
      <c r="F18" s="4">
        <v>1.0</v>
      </c>
      <c r="G18" s="4">
        <v>3.0</v>
      </c>
      <c r="H18" s="4">
        <v>0.0</v>
      </c>
      <c r="I18" s="4">
        <v>0.0</v>
      </c>
      <c r="K18" s="10" t="s">
        <v>38</v>
      </c>
      <c r="L18" s="10"/>
      <c r="M18" s="27" t="s">
        <v>118</v>
      </c>
      <c r="N18" s="25">
        <v>130000</v>
      </c>
      <c r="O18" s="25"/>
      <c r="P18" s="10"/>
      <c r="Q18" s="10"/>
    </row>
    <row r="19" spans="1:19">
      <c r="A19" s="6">
        <v>26</v>
      </c>
      <c r="B19" s="4">
        <v>6</v>
      </c>
      <c r="C19" s="4" t="s">
        <v>25</v>
      </c>
      <c r="D19" s="4">
        <v>12</v>
      </c>
      <c r="E19" s="4">
        <v>8.0</v>
      </c>
      <c r="F19" s="4">
        <v>1.0</v>
      </c>
      <c r="G19" s="4">
        <v>3.0</v>
      </c>
      <c r="H19" s="4">
        <v>0.0</v>
      </c>
      <c r="I19" s="4">
        <v>0.0</v>
      </c>
      <c r="K19" s="10" t="s">
        <v>40</v>
      </c>
      <c r="L19" s="10"/>
      <c r="M19" s="27" t="s">
        <v>100</v>
      </c>
      <c r="N19" s="25">
        <v>50806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 t="s">
        <v>39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>
        <v>1</v>
      </c>
      <c r="C22" s="4">
        <v>1</v>
      </c>
      <c r="D22" s="4">
        <v>12</v>
      </c>
      <c r="E22" s="4">
        <v>8.0</v>
      </c>
      <c r="F22" s="4">
        <v>1.0</v>
      </c>
      <c r="G22" s="4">
        <v>3.0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258806</v>
      </c>
      <c r="P22" s="10"/>
      <c r="Q22" s="10"/>
    </row>
    <row r="23" spans="1:19">
      <c r="A23" s="6">
        <v>30</v>
      </c>
      <c r="B23" s="4">
        <v>2</v>
      </c>
      <c r="C23" s="4">
        <v>1</v>
      </c>
      <c r="D23" s="4">
        <v>12</v>
      </c>
      <c r="E23" s="4">
        <v>8.0</v>
      </c>
      <c r="F23" s="4">
        <v>1.0</v>
      </c>
      <c r="G23" s="4">
        <v>3.0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>
        <v>3</v>
      </c>
      <c r="C24" s="4">
        <v>1</v>
      </c>
      <c r="D24" s="4">
        <v>12</v>
      </c>
      <c r="E24" s="4">
        <v>8.0</v>
      </c>
      <c r="F24" s="4">
        <v>1.0</v>
      </c>
      <c r="G24" s="4">
        <v>3.0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>
        <v>4</v>
      </c>
      <c r="C25" s="4">
        <v>1</v>
      </c>
      <c r="D25" s="4">
        <v>12</v>
      </c>
      <c r="E25" s="4">
        <v>8.0</v>
      </c>
      <c r="F25" s="4">
        <v>1.0</v>
      </c>
      <c r="G25" s="4">
        <v>3.0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>
        <v>5</v>
      </c>
      <c r="C26" s="4">
        <v>1</v>
      </c>
      <c r="D26" s="4">
        <v>12</v>
      </c>
      <c r="E26" s="4">
        <v>8.0</v>
      </c>
      <c r="F26" s="4">
        <v>1.0</v>
      </c>
      <c r="G26" s="4">
        <v>3.0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>
        <v>6</v>
      </c>
      <c r="C27" s="4">
        <v>1</v>
      </c>
      <c r="D27" s="4">
        <v>12</v>
      </c>
      <c r="E27" s="4">
        <v>8.0</v>
      </c>
      <c r="F27" s="4">
        <v>1.0</v>
      </c>
      <c r="G27" s="4">
        <v>3.0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 t="s">
        <v>39</v>
      </c>
      <c r="C28" s="4">
        <v>0</v>
      </c>
      <c r="D28" s="4">
        <v>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 t="s">
        <v>39</v>
      </c>
      <c r="C29" s="4">
        <v>0</v>
      </c>
      <c r="D29" s="4">
        <v>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4573892.38</v>
      </c>
      <c r="P29" s="10"/>
      <c r="Q29" s="10"/>
    </row>
    <row r="30" spans="1:19">
      <c r="A30" s="6">
        <v>7</v>
      </c>
      <c r="B30" s="4" t="s">
        <v>39</v>
      </c>
      <c r="C30" s="4">
        <v>0</v>
      </c>
      <c r="D30" s="4">
        <v>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75</v>
      </c>
      <c r="N31" s="28" t="s">
        <v>52</v>
      </c>
      <c r="O31" s="25">
        <f>ROUNDDOWN(-(0.00),0)</f>
        <v>0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39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 t="s">
        <v>39</v>
      </c>
      <c r="C37" s="4">
        <v>0</v>
      </c>
      <c r="D37" s="4">
        <v>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4233829.0</v>
      </c>
      <c r="P37" s="10"/>
      <c r="Q37" s="10"/>
    </row>
    <row r="38" spans="1:19">
      <c r="A38" s="6">
        <v>15</v>
      </c>
      <c r="B38" s="4" t="s">
        <v>39</v>
      </c>
      <c r="C38" s="4">
        <v>0</v>
      </c>
      <c r="D38" s="4">
        <v>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13</v>
      </c>
      <c r="D39" s="9">
        <v>156</v>
      </c>
      <c r="E39" s="9">
        <v>104.0</v>
      </c>
      <c r="F39" s="9">
        <v>13.0</v>
      </c>
      <c r="G39" s="9">
        <v>39.0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52.0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-29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4233800.0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112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119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120</v>
      </c>
      <c r="N4" s="10" t="s">
        <v>5</v>
      </c>
      <c r="O4" s="10">
        <v>251100033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121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78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122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 t="s">
        <v>39</v>
      </c>
      <c r="C9" s="4">
        <v>0</v>
      </c>
      <c r="D9" s="4">
        <v>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2709665.0</v>
      </c>
      <c r="P9" s="10"/>
      <c r="Q9" s="10"/>
    </row>
    <row r="10" spans="1:19">
      <c r="A10" s="6">
        <v>17</v>
      </c>
      <c r="B10" s="4">
        <v>1</v>
      </c>
      <c r="C10" s="4">
        <v>1</v>
      </c>
      <c r="D10" s="4">
        <v>9</v>
      </c>
      <c r="E10" s="4">
        <v>8.0</v>
      </c>
      <c r="F10" s="4">
        <v>1.0</v>
      </c>
      <c r="G10" s="4">
        <v>0.0</v>
      </c>
      <c r="H10" s="4">
        <v>0.0</v>
      </c>
      <c r="I10" s="4">
        <v>0.0</v>
      </c>
      <c r="K10" s="10" t="s">
        <v>27</v>
      </c>
      <c r="L10" s="10"/>
      <c r="M10" s="25" t="s">
        <v>123</v>
      </c>
      <c r="N10" s="25">
        <v>469884.07</v>
      </c>
      <c r="O10" s="25"/>
      <c r="P10" s="10"/>
      <c r="Q10" s="10"/>
    </row>
    <row r="11" spans="1:19">
      <c r="A11" s="6">
        <v>18</v>
      </c>
      <c r="B11" s="4" t="s">
        <v>39</v>
      </c>
      <c r="C11" s="4">
        <v>0</v>
      </c>
      <c r="D11" s="4">
        <v>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K11" s="10" t="s">
        <v>29</v>
      </c>
      <c r="L11" s="10"/>
      <c r="M11" s="25" t="s">
        <v>124</v>
      </c>
      <c r="N11" s="25">
        <v>0.0</v>
      </c>
      <c r="O11" s="25"/>
      <c r="P11" s="10"/>
      <c r="Q11" s="10"/>
    </row>
    <row r="12" spans="1:19">
      <c r="A12" s="6">
        <v>19</v>
      </c>
      <c r="B12" s="4">
        <v>1</v>
      </c>
      <c r="C12" s="4">
        <v>1</v>
      </c>
      <c r="D12" s="4">
        <v>9</v>
      </c>
      <c r="E12" s="4">
        <v>8.0</v>
      </c>
      <c r="F12" s="4">
        <v>1.0</v>
      </c>
      <c r="G12" s="4">
        <v>0.0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>
        <v>2</v>
      </c>
      <c r="C13" s="4">
        <v>1</v>
      </c>
      <c r="D13" s="4">
        <v>9</v>
      </c>
      <c r="E13" s="4">
        <v>8.0</v>
      </c>
      <c r="F13" s="4">
        <v>1.0</v>
      </c>
      <c r="G13" s="4">
        <v>0.0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>
        <v>3</v>
      </c>
      <c r="C14" s="4">
        <v>1</v>
      </c>
      <c r="D14" s="4">
        <v>9</v>
      </c>
      <c r="E14" s="4">
        <v>8.0</v>
      </c>
      <c r="F14" s="4">
        <v>1.0</v>
      </c>
      <c r="G14" s="4">
        <v>0.0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469884.0</v>
      </c>
      <c r="P14" s="10"/>
      <c r="Q14" s="10"/>
    </row>
    <row r="15" spans="1:19">
      <c r="A15" s="6">
        <v>22</v>
      </c>
      <c r="B15" s="4" t="s">
        <v>39</v>
      </c>
      <c r="C15" s="4">
        <v>0</v>
      </c>
      <c r="D15" s="4">
        <v>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 t="s">
        <v>39</v>
      </c>
      <c r="C16" s="4">
        <v>0</v>
      </c>
      <c r="D16" s="4">
        <v>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>
        <v>1</v>
      </c>
      <c r="C17" s="4">
        <v>1</v>
      </c>
      <c r="D17" s="4">
        <v>9</v>
      </c>
      <c r="E17" s="4">
        <v>8.0</v>
      </c>
      <c r="F17" s="4">
        <v>1.0</v>
      </c>
      <c r="G17" s="4">
        <v>0.0</v>
      </c>
      <c r="H17" s="4">
        <v>0.0</v>
      </c>
      <c r="I17" s="4">
        <v>0.0</v>
      </c>
      <c r="K17" s="10" t="s">
        <v>36</v>
      </c>
      <c r="L17" s="10"/>
      <c r="M17" s="27" t="s">
        <v>125</v>
      </c>
      <c r="N17" s="25">
        <v>96000</v>
      </c>
      <c r="O17" s="25"/>
      <c r="P17" s="10"/>
      <c r="Q17" s="10"/>
    </row>
    <row r="18" spans="1:19">
      <c r="A18" s="6">
        <v>25</v>
      </c>
      <c r="B18" s="4" t="s">
        <v>39</v>
      </c>
      <c r="C18" s="4">
        <v>0</v>
      </c>
      <c r="D18" s="4">
        <v>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K18" s="10" t="s">
        <v>38</v>
      </c>
      <c r="L18" s="10"/>
      <c r="M18" s="27" t="s">
        <v>125</v>
      </c>
      <c r="N18" s="25">
        <v>160000</v>
      </c>
      <c r="O18" s="25"/>
      <c r="P18" s="10"/>
      <c r="Q18" s="10"/>
    </row>
    <row r="19" spans="1:19">
      <c r="A19" s="6">
        <v>26</v>
      </c>
      <c r="B19" s="4" t="s">
        <v>39</v>
      </c>
      <c r="C19" s="4">
        <v>0</v>
      </c>
      <c r="D19" s="4">
        <v>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K19" s="10" t="s">
        <v>40</v>
      </c>
      <c r="L19" s="10"/>
      <c r="M19" s="27" t="s">
        <v>80</v>
      </c>
      <c r="N19" s="25">
        <v>0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 t="s">
        <v>39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>
        <v>1</v>
      </c>
      <c r="C22" s="4">
        <v>1</v>
      </c>
      <c r="D22" s="4">
        <v>9</v>
      </c>
      <c r="E22" s="4">
        <v>8.0</v>
      </c>
      <c r="F22" s="4">
        <v>1.0</v>
      </c>
      <c r="G22" s="4">
        <v>0.0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256000</v>
      </c>
      <c r="P22" s="10"/>
      <c r="Q22" s="10"/>
    </row>
    <row r="23" spans="1:19">
      <c r="A23" s="6">
        <v>30</v>
      </c>
      <c r="B23" s="4">
        <v>2</v>
      </c>
      <c r="C23" s="4">
        <v>1</v>
      </c>
      <c r="D23" s="4">
        <v>9</v>
      </c>
      <c r="E23" s="4">
        <v>8.0</v>
      </c>
      <c r="F23" s="4">
        <v>1.0</v>
      </c>
      <c r="G23" s="4">
        <v>0.0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>
        <v>3</v>
      </c>
      <c r="C24" s="4">
        <v>1</v>
      </c>
      <c r="D24" s="4">
        <v>9</v>
      </c>
      <c r="E24" s="4">
        <v>8.0</v>
      </c>
      <c r="F24" s="4">
        <v>1.0</v>
      </c>
      <c r="G24" s="4">
        <v>0.0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 t="s">
        <v>39</v>
      </c>
      <c r="C25" s="4">
        <v>0</v>
      </c>
      <c r="D25" s="4">
        <v>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>
        <v>1</v>
      </c>
      <c r="C26" s="4">
        <v>1</v>
      </c>
      <c r="D26" s="4">
        <v>9</v>
      </c>
      <c r="E26" s="4">
        <v>8.0</v>
      </c>
      <c r="F26" s="4">
        <v>1.0</v>
      </c>
      <c r="G26" s="4">
        <v>0.0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>
        <v>2</v>
      </c>
      <c r="C27" s="4">
        <v>1</v>
      </c>
      <c r="D27" s="4">
        <v>9</v>
      </c>
      <c r="E27" s="4">
        <v>8.0</v>
      </c>
      <c r="F27" s="4">
        <v>1.0</v>
      </c>
      <c r="G27" s="4">
        <v>0.0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>
        <v>3</v>
      </c>
      <c r="C28" s="4">
        <v>1</v>
      </c>
      <c r="D28" s="4">
        <v>9</v>
      </c>
      <c r="E28" s="4">
        <v>8.0</v>
      </c>
      <c r="F28" s="4">
        <v>1.0</v>
      </c>
      <c r="G28" s="4">
        <v>0.0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>
        <v>4</v>
      </c>
      <c r="C29" s="4">
        <v>1</v>
      </c>
      <c r="D29" s="4">
        <v>9</v>
      </c>
      <c r="E29" s="4">
        <v>8.0</v>
      </c>
      <c r="F29" s="4">
        <v>1.0</v>
      </c>
      <c r="G29" s="4">
        <v>0.0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3640128.56</v>
      </c>
      <c r="P29" s="10"/>
      <c r="Q29" s="10"/>
    </row>
    <row r="30" spans="1:19">
      <c r="A30" s="6">
        <v>7</v>
      </c>
      <c r="B30" s="4">
        <v>5</v>
      </c>
      <c r="C30" s="4">
        <v>1</v>
      </c>
      <c r="D30" s="4">
        <v>9</v>
      </c>
      <c r="E30" s="4">
        <v>8.0</v>
      </c>
      <c r="F30" s="4">
        <v>1.0</v>
      </c>
      <c r="G30" s="4">
        <v>0.0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>
        <v>6</v>
      </c>
      <c r="C31" s="4">
        <v>1</v>
      </c>
      <c r="D31" s="4">
        <v>9</v>
      </c>
      <c r="E31" s="4">
        <v>8.0</v>
      </c>
      <c r="F31" s="4">
        <v>1.0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51</v>
      </c>
      <c r="N31" s="28" t="s">
        <v>52</v>
      </c>
      <c r="O31" s="25">
        <f>ROUNDDOWN(-(0.00),0)</f>
        <v>0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>
        <v>1</v>
      </c>
      <c r="C34" s="4">
        <v>1</v>
      </c>
      <c r="D34" s="4">
        <v>9</v>
      </c>
      <c r="E34" s="4">
        <v>8.0</v>
      </c>
      <c r="F34" s="4">
        <v>1.0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39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 t="s">
        <v>39</v>
      </c>
      <c r="C37" s="4">
        <v>0</v>
      </c>
      <c r="D37" s="4">
        <v>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3300066.0</v>
      </c>
      <c r="P37" s="10"/>
      <c r="Q37" s="10"/>
    </row>
    <row r="38" spans="1:19">
      <c r="A38" s="6">
        <v>15</v>
      </c>
      <c r="B38" s="4">
        <v>1</v>
      </c>
      <c r="C38" s="4">
        <v>1</v>
      </c>
      <c r="D38" s="4">
        <v>9</v>
      </c>
      <c r="E38" s="4">
        <v>8.0</v>
      </c>
      <c r="F38" s="4">
        <v>1.0</v>
      </c>
      <c r="G38" s="4">
        <v>0.0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16</v>
      </c>
      <c r="D39" s="9">
        <v>144</v>
      </c>
      <c r="E39" s="9">
        <v>128.0</v>
      </c>
      <c r="F39" s="9">
        <v>16.0</v>
      </c>
      <c r="G39" s="9">
        <v>0.0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16.0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34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3300100.0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120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126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127</v>
      </c>
      <c r="N4" s="10" t="s">
        <v>5</v>
      </c>
      <c r="O4" s="10">
        <v>221000315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90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128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129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 t="s">
        <v>39</v>
      </c>
      <c r="C9" s="4">
        <v>0</v>
      </c>
      <c r="D9" s="4">
        <v>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2879019.0</v>
      </c>
      <c r="P9" s="10"/>
      <c r="Q9" s="10"/>
    </row>
    <row r="10" spans="1:19">
      <c r="A10" s="6">
        <v>17</v>
      </c>
      <c r="B10" s="4">
        <v>1</v>
      </c>
      <c r="C10" s="4" t="s">
        <v>25</v>
      </c>
      <c r="D10" s="4">
        <v>12</v>
      </c>
      <c r="E10" s="4">
        <v>8.0</v>
      </c>
      <c r="F10" s="4">
        <v>1.0</v>
      </c>
      <c r="G10" s="4">
        <v>3.0</v>
      </c>
      <c r="H10" s="4">
        <v>0.0</v>
      </c>
      <c r="I10" s="4">
        <v>0.0</v>
      </c>
      <c r="K10" s="10" t="s">
        <v>27</v>
      </c>
      <c r="L10" s="10"/>
      <c r="M10" s="25" t="s">
        <v>130</v>
      </c>
      <c r="N10" s="25">
        <v>499251.82</v>
      </c>
      <c r="O10" s="25"/>
      <c r="P10" s="10"/>
      <c r="Q10" s="10"/>
    </row>
    <row r="11" spans="1:19">
      <c r="A11" s="6">
        <v>18</v>
      </c>
      <c r="B11" s="4">
        <v>2</v>
      </c>
      <c r="C11" s="4" t="s">
        <v>25</v>
      </c>
      <c r="D11" s="4">
        <v>12</v>
      </c>
      <c r="E11" s="4">
        <v>8.0</v>
      </c>
      <c r="F11" s="4">
        <v>1.0</v>
      </c>
      <c r="G11" s="4">
        <v>3.0</v>
      </c>
      <c r="H11" s="4">
        <v>0.0</v>
      </c>
      <c r="I11" s="4">
        <v>0.0</v>
      </c>
      <c r="K11" s="10" t="s">
        <v>29</v>
      </c>
      <c r="L11" s="10"/>
      <c r="M11" s="25" t="s">
        <v>131</v>
      </c>
      <c r="N11" s="25">
        <v>1997007.29</v>
      </c>
      <c r="O11" s="25"/>
      <c r="P11" s="10"/>
      <c r="Q11" s="10"/>
    </row>
    <row r="12" spans="1:19">
      <c r="A12" s="6">
        <v>19</v>
      </c>
      <c r="B12" s="4">
        <v>3</v>
      </c>
      <c r="C12" s="4" t="s">
        <v>25</v>
      </c>
      <c r="D12" s="4">
        <v>12</v>
      </c>
      <c r="E12" s="4">
        <v>8.0</v>
      </c>
      <c r="F12" s="4">
        <v>1.0</v>
      </c>
      <c r="G12" s="4">
        <v>3.0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>
        <v>4</v>
      </c>
      <c r="C13" s="4" t="s">
        <v>25</v>
      </c>
      <c r="D13" s="4">
        <v>12</v>
      </c>
      <c r="E13" s="4">
        <v>8.0</v>
      </c>
      <c r="F13" s="4">
        <v>1.0</v>
      </c>
      <c r="G13" s="4">
        <v>3.0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 t="s">
        <v>39</v>
      </c>
      <c r="C14" s="4">
        <v>0</v>
      </c>
      <c r="D14" s="4">
        <v>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2496259.0</v>
      </c>
      <c r="P14" s="10"/>
      <c r="Q14" s="10"/>
    </row>
    <row r="15" spans="1:19">
      <c r="A15" s="6">
        <v>22</v>
      </c>
      <c r="B15" s="4" t="s">
        <v>39</v>
      </c>
      <c r="C15" s="4">
        <v>0</v>
      </c>
      <c r="D15" s="4">
        <v>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 t="s">
        <v>39</v>
      </c>
      <c r="C16" s="4">
        <v>0</v>
      </c>
      <c r="D16" s="4">
        <v>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>
        <v>1</v>
      </c>
      <c r="C17" s="4">
        <v>1</v>
      </c>
      <c r="D17" s="4">
        <v>12</v>
      </c>
      <c r="E17" s="4">
        <v>8.0</v>
      </c>
      <c r="F17" s="4">
        <v>1.0</v>
      </c>
      <c r="G17" s="4">
        <v>3.0</v>
      </c>
      <c r="H17" s="4">
        <v>0.0</v>
      </c>
      <c r="I17" s="4">
        <v>0.0</v>
      </c>
      <c r="K17" s="10" t="s">
        <v>36</v>
      </c>
      <c r="L17" s="10"/>
      <c r="M17" s="27" t="s">
        <v>132</v>
      </c>
      <c r="N17" s="25">
        <v>102000</v>
      </c>
      <c r="O17" s="25"/>
      <c r="P17" s="10"/>
      <c r="Q17" s="10"/>
    </row>
    <row r="18" spans="1:19">
      <c r="A18" s="6">
        <v>25</v>
      </c>
      <c r="B18" s="4">
        <v>2</v>
      </c>
      <c r="C18" s="4">
        <v>1</v>
      </c>
      <c r="D18" s="4">
        <v>12</v>
      </c>
      <c r="E18" s="4">
        <v>8.0</v>
      </c>
      <c r="F18" s="4">
        <v>1.0</v>
      </c>
      <c r="G18" s="4">
        <v>3.0</v>
      </c>
      <c r="H18" s="4">
        <v>0.0</v>
      </c>
      <c r="I18" s="4">
        <v>0.0</v>
      </c>
      <c r="K18" s="10" t="s">
        <v>38</v>
      </c>
      <c r="L18" s="10"/>
      <c r="M18" s="27" t="s">
        <v>132</v>
      </c>
      <c r="N18" s="25">
        <v>170000</v>
      </c>
      <c r="O18" s="25"/>
      <c r="P18" s="10"/>
      <c r="Q18" s="10"/>
    </row>
    <row r="19" spans="1:19">
      <c r="A19" s="6">
        <v>26</v>
      </c>
      <c r="B19" s="4">
        <v>3</v>
      </c>
      <c r="C19" s="4">
        <v>1</v>
      </c>
      <c r="D19" s="4">
        <v>12</v>
      </c>
      <c r="E19" s="4">
        <v>8.0</v>
      </c>
      <c r="F19" s="4">
        <v>1.0</v>
      </c>
      <c r="G19" s="4">
        <v>3.0</v>
      </c>
      <c r="H19" s="4">
        <v>0.0</v>
      </c>
      <c r="I19" s="4">
        <v>0.0</v>
      </c>
      <c r="K19" s="10" t="s">
        <v>40</v>
      </c>
      <c r="L19" s="10"/>
      <c r="M19" s="27" t="s">
        <v>133</v>
      </c>
      <c r="N19" s="25">
        <v>101612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 t="s">
        <v>39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 t="s">
        <v>39</v>
      </c>
      <c r="C22" s="4">
        <v>0</v>
      </c>
      <c r="D22" s="4">
        <v>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373612</v>
      </c>
      <c r="P22" s="10"/>
      <c r="Q22" s="10"/>
    </row>
    <row r="23" spans="1:19">
      <c r="A23" s="6">
        <v>30</v>
      </c>
      <c r="B23" s="4" t="s">
        <v>39</v>
      </c>
      <c r="C23" s="4">
        <v>0</v>
      </c>
      <c r="D23" s="4">
        <v>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>
        <v>1</v>
      </c>
      <c r="C24" s="4">
        <v>1</v>
      </c>
      <c r="D24" s="4">
        <v>12</v>
      </c>
      <c r="E24" s="4">
        <v>8.0</v>
      </c>
      <c r="F24" s="4">
        <v>1.0</v>
      </c>
      <c r="G24" s="4">
        <v>3.0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>
        <v>2</v>
      </c>
      <c r="C25" s="4">
        <v>1</v>
      </c>
      <c r="D25" s="4">
        <v>12</v>
      </c>
      <c r="E25" s="4">
        <v>8.0</v>
      </c>
      <c r="F25" s="4">
        <v>1.0</v>
      </c>
      <c r="G25" s="4">
        <v>3.0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>
        <v>3</v>
      </c>
      <c r="C26" s="4">
        <v>1</v>
      </c>
      <c r="D26" s="4">
        <v>12</v>
      </c>
      <c r="E26" s="4">
        <v>8.0</v>
      </c>
      <c r="F26" s="4">
        <v>1.0</v>
      </c>
      <c r="G26" s="4">
        <v>3.0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>
        <v>4</v>
      </c>
      <c r="C27" s="4">
        <v>1</v>
      </c>
      <c r="D27" s="4">
        <v>12</v>
      </c>
      <c r="E27" s="4">
        <v>8.0</v>
      </c>
      <c r="F27" s="4">
        <v>1.0</v>
      </c>
      <c r="G27" s="4">
        <v>3.0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>
        <v>5</v>
      </c>
      <c r="C28" s="4">
        <v>1</v>
      </c>
      <c r="D28" s="4">
        <v>12</v>
      </c>
      <c r="E28" s="4">
        <v>8.0</v>
      </c>
      <c r="F28" s="4">
        <v>1.0</v>
      </c>
      <c r="G28" s="4">
        <v>3.0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>
        <v>6</v>
      </c>
      <c r="C29" s="4">
        <v>1</v>
      </c>
      <c r="D29" s="4">
        <v>12</v>
      </c>
      <c r="E29" s="4">
        <v>8.0</v>
      </c>
      <c r="F29" s="4">
        <v>1.0</v>
      </c>
      <c r="G29" s="4">
        <v>3.0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5953469.65</v>
      </c>
      <c r="P29" s="10"/>
      <c r="Q29" s="10"/>
    </row>
    <row r="30" spans="1:19">
      <c r="A30" s="6">
        <v>7</v>
      </c>
      <c r="B30" s="4">
        <v>7</v>
      </c>
      <c r="C30" s="4">
        <v>1</v>
      </c>
      <c r="D30" s="4">
        <v>12</v>
      </c>
      <c r="E30" s="4">
        <v>8.0</v>
      </c>
      <c r="F30" s="4">
        <v>1.0</v>
      </c>
      <c r="G30" s="4">
        <v>3.0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134</v>
      </c>
      <c r="N31" s="28" t="s">
        <v>52</v>
      </c>
      <c r="O31" s="25">
        <f>ROUNDDOWN(-(0.00),0)</f>
        <v>0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>
        <v>1</v>
      </c>
      <c r="C33" s="4">
        <v>1</v>
      </c>
      <c r="D33" s="4">
        <v>12</v>
      </c>
      <c r="E33" s="4">
        <v>8.0</v>
      </c>
      <c r="F33" s="4">
        <v>1.0</v>
      </c>
      <c r="G33" s="4">
        <v>3.0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>
        <v>2</v>
      </c>
      <c r="C34" s="4">
        <v>1</v>
      </c>
      <c r="D34" s="4">
        <v>12</v>
      </c>
      <c r="E34" s="4">
        <v>8.0</v>
      </c>
      <c r="F34" s="4">
        <v>1.0</v>
      </c>
      <c r="G34" s="4">
        <v>3.0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39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 t="s">
        <v>39</v>
      </c>
      <c r="C37" s="4">
        <v>0</v>
      </c>
      <c r="D37" s="4">
        <v>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5613407.0</v>
      </c>
      <c r="P37" s="10"/>
      <c r="Q37" s="10"/>
    </row>
    <row r="38" spans="1:19">
      <c r="A38" s="6">
        <v>15</v>
      </c>
      <c r="B38" s="4">
        <v>1</v>
      </c>
      <c r="C38" s="4">
        <v>1</v>
      </c>
      <c r="D38" s="4">
        <v>12</v>
      </c>
      <c r="E38" s="4">
        <v>8.0</v>
      </c>
      <c r="F38" s="4">
        <v>1.0</v>
      </c>
      <c r="G38" s="4">
        <v>3.0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17</v>
      </c>
      <c r="D39" s="9">
        <v>204</v>
      </c>
      <c r="E39" s="9">
        <v>136.0</v>
      </c>
      <c r="F39" s="9">
        <v>17.0</v>
      </c>
      <c r="G39" s="9">
        <v>51.0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68.0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-7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5613400.0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127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135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136</v>
      </c>
      <c r="N4" s="10" t="s">
        <v>5</v>
      </c>
      <c r="O4" s="10">
        <v>251100035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137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128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138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>
        <v>1</v>
      </c>
      <c r="C9" s="4">
        <v>1</v>
      </c>
      <c r="D9" s="4">
        <v>12</v>
      </c>
      <c r="E9" s="4">
        <v>8.0</v>
      </c>
      <c r="F9" s="4">
        <v>1.0</v>
      </c>
      <c r="G9" s="4">
        <v>3.0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1693541.0</v>
      </c>
      <c r="P9" s="10"/>
      <c r="Q9" s="10"/>
    </row>
    <row r="10" spans="1:19">
      <c r="A10" s="6">
        <v>17</v>
      </c>
      <c r="B10" s="4">
        <v>2</v>
      </c>
      <c r="C10" s="4">
        <v>1</v>
      </c>
      <c r="D10" s="4">
        <v>12</v>
      </c>
      <c r="E10" s="4">
        <v>8.0</v>
      </c>
      <c r="F10" s="4">
        <v>1.0</v>
      </c>
      <c r="G10" s="4">
        <v>3.0</v>
      </c>
      <c r="H10" s="4">
        <v>0.0</v>
      </c>
      <c r="I10" s="4">
        <v>0.0</v>
      </c>
      <c r="K10" s="10" t="s">
        <v>27</v>
      </c>
      <c r="L10" s="10"/>
      <c r="M10" s="25" t="s">
        <v>28</v>
      </c>
      <c r="N10" s="25">
        <v>293677.54</v>
      </c>
      <c r="O10" s="25"/>
      <c r="P10" s="10"/>
      <c r="Q10" s="10"/>
    </row>
    <row r="11" spans="1:19">
      <c r="A11" s="6">
        <v>18</v>
      </c>
      <c r="B11" s="4">
        <v>3</v>
      </c>
      <c r="C11" s="4">
        <v>1</v>
      </c>
      <c r="D11" s="4">
        <v>12</v>
      </c>
      <c r="E11" s="4">
        <v>8.0</v>
      </c>
      <c r="F11" s="4">
        <v>1.0</v>
      </c>
      <c r="G11" s="4">
        <v>3.0</v>
      </c>
      <c r="H11" s="4">
        <v>0.0</v>
      </c>
      <c r="I11" s="4">
        <v>0.0</v>
      </c>
      <c r="K11" s="10" t="s">
        <v>29</v>
      </c>
      <c r="L11" s="10"/>
      <c r="M11" s="25" t="s">
        <v>30</v>
      </c>
      <c r="N11" s="25">
        <v>1174710.17</v>
      </c>
      <c r="O11" s="25"/>
      <c r="P11" s="10"/>
      <c r="Q11" s="10"/>
    </row>
    <row r="12" spans="1:19">
      <c r="A12" s="6">
        <v>19</v>
      </c>
      <c r="B12" s="4" t="s">
        <v>39</v>
      </c>
      <c r="C12" s="4">
        <v>0</v>
      </c>
      <c r="D12" s="4">
        <v>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 t="s">
        <v>39</v>
      </c>
      <c r="C13" s="4">
        <v>0</v>
      </c>
      <c r="D13" s="4">
        <v>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 t="s">
        <v>39</v>
      </c>
      <c r="C14" s="4">
        <v>0</v>
      </c>
      <c r="D14" s="4">
        <v>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1468388.0</v>
      </c>
      <c r="P14" s="10"/>
      <c r="Q14" s="10"/>
    </row>
    <row r="15" spans="1:19">
      <c r="A15" s="6">
        <v>22</v>
      </c>
      <c r="B15" s="4" t="s">
        <v>39</v>
      </c>
      <c r="C15" s="4">
        <v>0</v>
      </c>
      <c r="D15" s="4">
        <v>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 t="s">
        <v>39</v>
      </c>
      <c r="C16" s="4">
        <v>0</v>
      </c>
      <c r="D16" s="4">
        <v>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 t="s">
        <v>39</v>
      </c>
      <c r="C17" s="4">
        <v>0</v>
      </c>
      <c r="D17" s="4">
        <v>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K17" s="10" t="s">
        <v>36</v>
      </c>
      <c r="L17" s="10"/>
      <c r="M17" s="27" t="s">
        <v>37</v>
      </c>
      <c r="N17" s="25">
        <v>60000</v>
      </c>
      <c r="O17" s="25"/>
      <c r="P17" s="10"/>
      <c r="Q17" s="10"/>
    </row>
    <row r="18" spans="1:19">
      <c r="A18" s="6">
        <v>25</v>
      </c>
      <c r="B18" s="4" t="s">
        <v>39</v>
      </c>
      <c r="C18" s="4">
        <v>0</v>
      </c>
      <c r="D18" s="4">
        <v>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K18" s="10" t="s">
        <v>38</v>
      </c>
      <c r="L18" s="10"/>
      <c r="M18" s="27" t="s">
        <v>37</v>
      </c>
      <c r="N18" s="25">
        <v>100000</v>
      </c>
      <c r="O18" s="25"/>
      <c r="P18" s="10"/>
      <c r="Q18" s="10"/>
    </row>
    <row r="19" spans="1:19">
      <c r="A19" s="6">
        <v>26</v>
      </c>
      <c r="B19" s="4" t="s">
        <v>39</v>
      </c>
      <c r="C19" s="4">
        <v>0</v>
      </c>
      <c r="D19" s="4">
        <v>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K19" s="10" t="s">
        <v>40</v>
      </c>
      <c r="L19" s="10"/>
      <c r="M19" s="27" t="s">
        <v>80</v>
      </c>
      <c r="N19" s="25">
        <v>0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 t="s">
        <v>39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 t="s">
        <v>39</v>
      </c>
      <c r="C22" s="4">
        <v>0</v>
      </c>
      <c r="D22" s="4">
        <v>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160000</v>
      </c>
      <c r="P22" s="10"/>
      <c r="Q22" s="10"/>
    </row>
    <row r="23" spans="1:19">
      <c r="A23" s="6">
        <v>30</v>
      </c>
      <c r="B23" s="4" t="s">
        <v>39</v>
      </c>
      <c r="C23" s="4">
        <v>0</v>
      </c>
      <c r="D23" s="4">
        <v>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 t="s">
        <v>39</v>
      </c>
      <c r="C24" s="4">
        <v>0</v>
      </c>
      <c r="D24" s="4">
        <v>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>
        <v>1</v>
      </c>
      <c r="C25" s="4">
        <v>1</v>
      </c>
      <c r="D25" s="4">
        <v>12</v>
      </c>
      <c r="E25" s="4">
        <v>8.0</v>
      </c>
      <c r="F25" s="4">
        <v>1.0</v>
      </c>
      <c r="G25" s="4">
        <v>3.0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>
        <v>2</v>
      </c>
      <c r="C26" s="4">
        <v>1</v>
      </c>
      <c r="D26" s="4">
        <v>12</v>
      </c>
      <c r="E26" s="4">
        <v>8.0</v>
      </c>
      <c r="F26" s="4">
        <v>1.0</v>
      </c>
      <c r="G26" s="4">
        <v>3.0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>
        <v>3</v>
      </c>
      <c r="C27" s="4">
        <v>1</v>
      </c>
      <c r="D27" s="4">
        <v>12</v>
      </c>
      <c r="E27" s="4">
        <v>8.0</v>
      </c>
      <c r="F27" s="4">
        <v>1.0</v>
      </c>
      <c r="G27" s="4">
        <v>3.0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>
        <v>4</v>
      </c>
      <c r="C28" s="4">
        <v>1</v>
      </c>
      <c r="D28" s="4">
        <v>12</v>
      </c>
      <c r="E28" s="4">
        <v>8.0</v>
      </c>
      <c r="F28" s="4">
        <v>1.0</v>
      </c>
      <c r="G28" s="4">
        <v>3.0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>
        <v>5</v>
      </c>
      <c r="C29" s="4">
        <v>1</v>
      </c>
      <c r="D29" s="4">
        <v>12</v>
      </c>
      <c r="E29" s="4">
        <v>8.0</v>
      </c>
      <c r="F29" s="4">
        <v>1.0</v>
      </c>
      <c r="G29" s="4">
        <v>3.0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3526507.9</v>
      </c>
      <c r="P29" s="10"/>
      <c r="Q29" s="10"/>
    </row>
    <row r="30" spans="1:19">
      <c r="A30" s="6">
        <v>7</v>
      </c>
      <c r="B30" s="4">
        <v>6</v>
      </c>
      <c r="C30" s="4">
        <v>1</v>
      </c>
      <c r="D30" s="4">
        <v>12</v>
      </c>
      <c r="E30" s="4">
        <v>8.0</v>
      </c>
      <c r="F30" s="4">
        <v>1.0</v>
      </c>
      <c r="G30" s="4">
        <v>3.0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>
        <v>7</v>
      </c>
      <c r="C31" s="4">
        <v>1</v>
      </c>
      <c r="D31" s="4">
        <v>12</v>
      </c>
      <c r="E31" s="4">
        <v>8.0</v>
      </c>
      <c r="F31" s="4">
        <v>1.0</v>
      </c>
      <c r="G31" s="4">
        <v>3.0</v>
      </c>
      <c r="H31" s="4">
        <v>0.0</v>
      </c>
      <c r="I31" s="4">
        <v>0.0</v>
      </c>
      <c r="K31" s="10" t="s">
        <v>50</v>
      </c>
      <c r="L31" s="10"/>
      <c r="M31" s="28" t="s">
        <v>134</v>
      </c>
      <c r="N31" s="28" t="s">
        <v>52</v>
      </c>
      <c r="O31" s="25">
        <f>ROUNDDOWN(-(0.00),0)</f>
        <v>0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39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 t="s">
        <v>39</v>
      </c>
      <c r="C37" s="4">
        <v>0</v>
      </c>
      <c r="D37" s="4">
        <v>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3186445.0</v>
      </c>
      <c r="P37" s="10"/>
      <c r="Q37" s="10"/>
    </row>
    <row r="38" spans="1:19">
      <c r="A38" s="6">
        <v>15</v>
      </c>
      <c r="B38" s="4" t="s">
        <v>39</v>
      </c>
      <c r="C38" s="4">
        <v>0</v>
      </c>
      <c r="D38" s="4">
        <v>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10</v>
      </c>
      <c r="D39" s="9">
        <v>120</v>
      </c>
      <c r="E39" s="9">
        <v>80.0</v>
      </c>
      <c r="F39" s="9">
        <v>10.0</v>
      </c>
      <c r="G39" s="9">
        <v>30.0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40.0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-45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3186400.0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136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139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140</v>
      </c>
      <c r="N4" s="10" t="s">
        <v>5</v>
      </c>
      <c r="O4" s="10">
        <v>251100023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113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78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141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>
        <v>1</v>
      </c>
      <c r="C9" s="4">
        <v>1</v>
      </c>
      <c r="D9" s="4">
        <v>12</v>
      </c>
      <c r="E9" s="4">
        <v>8.0</v>
      </c>
      <c r="F9" s="4">
        <v>1.0</v>
      </c>
      <c r="G9" s="4">
        <v>3.0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3895143.0</v>
      </c>
      <c r="P9" s="10"/>
      <c r="Q9" s="10"/>
    </row>
    <row r="10" spans="1:19">
      <c r="A10" s="6">
        <v>17</v>
      </c>
      <c r="B10" s="4">
        <v>2</v>
      </c>
      <c r="C10" s="4">
        <v>1</v>
      </c>
      <c r="D10" s="4">
        <v>12</v>
      </c>
      <c r="E10" s="4">
        <v>8.0</v>
      </c>
      <c r="F10" s="4">
        <v>1.0</v>
      </c>
      <c r="G10" s="4">
        <v>3.0</v>
      </c>
      <c r="H10" s="4">
        <v>0.0</v>
      </c>
      <c r="I10" s="4">
        <v>0.0</v>
      </c>
      <c r="K10" s="10" t="s">
        <v>27</v>
      </c>
      <c r="L10" s="10"/>
      <c r="M10" s="25" t="s">
        <v>142</v>
      </c>
      <c r="N10" s="25">
        <v>675458.35</v>
      </c>
      <c r="O10" s="25"/>
      <c r="P10" s="10"/>
      <c r="Q10" s="10"/>
    </row>
    <row r="11" spans="1:19">
      <c r="A11" s="6">
        <v>18</v>
      </c>
      <c r="B11" s="4">
        <v>3</v>
      </c>
      <c r="C11" s="4">
        <v>1</v>
      </c>
      <c r="D11" s="4">
        <v>12</v>
      </c>
      <c r="E11" s="4">
        <v>8.0</v>
      </c>
      <c r="F11" s="4">
        <v>1.0</v>
      </c>
      <c r="G11" s="4">
        <v>3.0</v>
      </c>
      <c r="H11" s="4">
        <v>0.0</v>
      </c>
      <c r="I11" s="4">
        <v>0.0</v>
      </c>
      <c r="K11" s="10" t="s">
        <v>29</v>
      </c>
      <c r="L11" s="10"/>
      <c r="M11" s="25" t="s">
        <v>143</v>
      </c>
      <c r="N11" s="25">
        <v>2701833.4</v>
      </c>
      <c r="O11" s="25"/>
      <c r="P11" s="10"/>
      <c r="Q11" s="10"/>
    </row>
    <row r="12" spans="1:19">
      <c r="A12" s="6">
        <v>19</v>
      </c>
      <c r="B12" s="4" t="s">
        <v>39</v>
      </c>
      <c r="C12" s="4">
        <v>0</v>
      </c>
      <c r="D12" s="4">
        <v>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>
        <v>1</v>
      </c>
      <c r="C13" s="4">
        <v>1</v>
      </c>
      <c r="D13" s="4">
        <v>12</v>
      </c>
      <c r="E13" s="4">
        <v>8.0</v>
      </c>
      <c r="F13" s="4">
        <v>1.0</v>
      </c>
      <c r="G13" s="4">
        <v>3.0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>
        <v>2</v>
      </c>
      <c r="C14" s="4">
        <v>1</v>
      </c>
      <c r="D14" s="4">
        <v>12</v>
      </c>
      <c r="E14" s="4">
        <v>8.0</v>
      </c>
      <c r="F14" s="4">
        <v>1.0</v>
      </c>
      <c r="G14" s="4">
        <v>3.0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3377292.0</v>
      </c>
      <c r="P14" s="10"/>
      <c r="Q14" s="10"/>
    </row>
    <row r="15" spans="1:19">
      <c r="A15" s="6">
        <v>22</v>
      </c>
      <c r="B15" s="4">
        <v>3</v>
      </c>
      <c r="C15" s="4">
        <v>1</v>
      </c>
      <c r="D15" s="4">
        <v>12</v>
      </c>
      <c r="E15" s="4">
        <v>8.0</v>
      </c>
      <c r="F15" s="4">
        <v>1.0</v>
      </c>
      <c r="G15" s="4">
        <v>3.0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 t="s">
        <v>39</v>
      </c>
      <c r="C16" s="4">
        <v>0</v>
      </c>
      <c r="D16" s="4">
        <v>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>
        <v>1</v>
      </c>
      <c r="C17" s="4">
        <v>1</v>
      </c>
      <c r="D17" s="4">
        <v>12</v>
      </c>
      <c r="E17" s="4">
        <v>8.0</v>
      </c>
      <c r="F17" s="4">
        <v>1.0</v>
      </c>
      <c r="G17" s="4">
        <v>3.0</v>
      </c>
      <c r="H17" s="4">
        <v>0.0</v>
      </c>
      <c r="I17" s="4">
        <v>0.0</v>
      </c>
      <c r="K17" s="10" t="s">
        <v>36</v>
      </c>
      <c r="L17" s="10"/>
      <c r="M17" s="27" t="s">
        <v>144</v>
      </c>
      <c r="N17" s="25">
        <v>138000</v>
      </c>
      <c r="O17" s="25"/>
      <c r="P17" s="10"/>
      <c r="Q17" s="10"/>
    </row>
    <row r="18" spans="1:19">
      <c r="A18" s="6">
        <v>25</v>
      </c>
      <c r="B18" s="4">
        <v>2</v>
      </c>
      <c r="C18" s="4">
        <v>1</v>
      </c>
      <c r="D18" s="4">
        <v>12</v>
      </c>
      <c r="E18" s="4">
        <v>8.0</v>
      </c>
      <c r="F18" s="4">
        <v>1.0</v>
      </c>
      <c r="G18" s="4">
        <v>3.0</v>
      </c>
      <c r="H18" s="4">
        <v>0.0</v>
      </c>
      <c r="I18" s="4">
        <v>0.0</v>
      </c>
      <c r="K18" s="10" t="s">
        <v>38</v>
      </c>
      <c r="L18" s="10"/>
      <c r="M18" s="27" t="s">
        <v>144</v>
      </c>
      <c r="N18" s="25">
        <v>230000</v>
      </c>
      <c r="O18" s="25"/>
      <c r="P18" s="10"/>
      <c r="Q18" s="10"/>
    </row>
    <row r="19" spans="1:19">
      <c r="A19" s="6">
        <v>26</v>
      </c>
      <c r="B19" s="4">
        <v>3</v>
      </c>
      <c r="C19" s="4">
        <v>1</v>
      </c>
      <c r="D19" s="4">
        <v>12</v>
      </c>
      <c r="E19" s="4">
        <v>8.0</v>
      </c>
      <c r="F19" s="4">
        <v>1.0</v>
      </c>
      <c r="G19" s="4">
        <v>3.0</v>
      </c>
      <c r="H19" s="4">
        <v>0.0</v>
      </c>
      <c r="I19" s="4">
        <v>0.0</v>
      </c>
      <c r="K19" s="10" t="s">
        <v>40</v>
      </c>
      <c r="L19" s="10"/>
      <c r="M19" s="27" t="s">
        <v>80</v>
      </c>
      <c r="N19" s="25">
        <v>0</v>
      </c>
      <c r="O19" s="25"/>
      <c r="P19" s="10"/>
      <c r="Q19" s="10"/>
    </row>
    <row r="20" spans="1:19">
      <c r="A20" s="6">
        <v>27</v>
      </c>
      <c r="B20" s="4">
        <v>4</v>
      </c>
      <c r="C20" s="4">
        <v>1</v>
      </c>
      <c r="D20" s="4">
        <v>12</v>
      </c>
      <c r="E20" s="4">
        <v>8.0</v>
      </c>
      <c r="F20" s="4">
        <v>1.0</v>
      </c>
      <c r="G20" s="4">
        <v>3.0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>
        <v>5</v>
      </c>
      <c r="C21" s="4">
        <v>1</v>
      </c>
      <c r="D21" s="4">
        <v>12</v>
      </c>
      <c r="E21" s="4">
        <v>8.0</v>
      </c>
      <c r="F21" s="4">
        <v>1.0</v>
      </c>
      <c r="G21" s="4">
        <v>3.0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>
        <v>6</v>
      </c>
      <c r="C22" s="4">
        <v>1</v>
      </c>
      <c r="D22" s="4">
        <v>12</v>
      </c>
      <c r="E22" s="4">
        <v>8.0</v>
      </c>
      <c r="F22" s="4">
        <v>1.0</v>
      </c>
      <c r="G22" s="4">
        <v>3.0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368000</v>
      </c>
      <c r="P22" s="10"/>
      <c r="Q22" s="10"/>
    </row>
    <row r="23" spans="1:19">
      <c r="A23" s="6">
        <v>30</v>
      </c>
      <c r="B23" s="4">
        <v>7</v>
      </c>
      <c r="C23" s="4">
        <v>1</v>
      </c>
      <c r="D23" s="4">
        <v>12</v>
      </c>
      <c r="E23" s="4">
        <v>8.0</v>
      </c>
      <c r="F23" s="4">
        <v>1.0</v>
      </c>
      <c r="G23" s="4">
        <v>3.0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>
        <v>8</v>
      </c>
      <c r="C24" s="4">
        <v>1</v>
      </c>
      <c r="D24" s="4">
        <v>12</v>
      </c>
      <c r="E24" s="4">
        <v>8.0</v>
      </c>
      <c r="F24" s="4">
        <v>1.0</v>
      </c>
      <c r="G24" s="4">
        <v>3.0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>
        <v>9</v>
      </c>
      <c r="C25" s="4">
        <v>1</v>
      </c>
      <c r="D25" s="4">
        <v>12</v>
      </c>
      <c r="E25" s="4">
        <v>8.0</v>
      </c>
      <c r="F25" s="4">
        <v>1.0</v>
      </c>
      <c r="G25" s="4">
        <v>3.0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>
        <v>1</v>
      </c>
      <c r="C26" s="4">
        <v>1</v>
      </c>
      <c r="D26" s="4">
        <v>12</v>
      </c>
      <c r="E26" s="4">
        <v>8.0</v>
      </c>
      <c r="F26" s="4">
        <v>1.0</v>
      </c>
      <c r="G26" s="4">
        <v>3.0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>
        <v>2</v>
      </c>
      <c r="C27" s="4">
        <v>1</v>
      </c>
      <c r="D27" s="4">
        <v>12</v>
      </c>
      <c r="E27" s="4">
        <v>8.0</v>
      </c>
      <c r="F27" s="4">
        <v>1.0</v>
      </c>
      <c r="G27" s="4">
        <v>3.0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>
        <v>3</v>
      </c>
      <c r="C28" s="4">
        <v>1</v>
      </c>
      <c r="D28" s="4">
        <v>12</v>
      </c>
      <c r="E28" s="4">
        <v>8.0</v>
      </c>
      <c r="F28" s="4">
        <v>1.0</v>
      </c>
      <c r="G28" s="4">
        <v>3.0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>
        <v>4</v>
      </c>
      <c r="C29" s="4">
        <v>1</v>
      </c>
      <c r="D29" s="4">
        <v>12</v>
      </c>
      <c r="E29" s="4">
        <v>8.0</v>
      </c>
      <c r="F29" s="4">
        <v>1.0</v>
      </c>
      <c r="G29" s="4">
        <v>3.0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7845014.59</v>
      </c>
      <c r="P29" s="10"/>
      <c r="Q29" s="10"/>
    </row>
    <row r="30" spans="1:19">
      <c r="A30" s="6">
        <v>7</v>
      </c>
      <c r="B30" s="4">
        <v>5</v>
      </c>
      <c r="C30" s="4">
        <v>1</v>
      </c>
      <c r="D30" s="4">
        <v>12</v>
      </c>
      <c r="E30" s="4">
        <v>8.0</v>
      </c>
      <c r="F30" s="4">
        <v>1.0</v>
      </c>
      <c r="G30" s="4">
        <v>3.0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>
        <v>6</v>
      </c>
      <c r="C31" s="4">
        <v>1</v>
      </c>
      <c r="D31" s="4">
        <v>12</v>
      </c>
      <c r="E31" s="4">
        <v>8.0</v>
      </c>
      <c r="F31" s="4">
        <v>1.0</v>
      </c>
      <c r="G31" s="4">
        <v>3.0</v>
      </c>
      <c r="H31" s="4">
        <v>0.0</v>
      </c>
      <c r="I31" s="4">
        <v>0.0</v>
      </c>
      <c r="K31" s="10" t="s">
        <v>50</v>
      </c>
      <c r="L31" s="10"/>
      <c r="M31" s="28" t="s">
        <v>51</v>
      </c>
      <c r="N31" s="28" t="s">
        <v>145</v>
      </c>
      <c r="O31" s="25">
        <f>ROUNDDOWN(-(117675.00),0)</f>
        <v>-117675</v>
      </c>
      <c r="P31" s="10"/>
      <c r="Q31" s="10"/>
    </row>
    <row r="32" spans="1:19">
      <c r="A32" s="6">
        <v>9</v>
      </c>
      <c r="B32" s="4">
        <v>7</v>
      </c>
      <c r="C32" s="4">
        <v>1</v>
      </c>
      <c r="D32" s="4">
        <v>12</v>
      </c>
      <c r="E32" s="4">
        <v>8.0</v>
      </c>
      <c r="F32" s="4">
        <v>1.0</v>
      </c>
      <c r="G32" s="4">
        <v>3.0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39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>
        <v>1</v>
      </c>
      <c r="C37" s="4">
        <v>1</v>
      </c>
      <c r="D37" s="4">
        <v>12</v>
      </c>
      <c r="E37" s="4">
        <v>8.0</v>
      </c>
      <c r="F37" s="4">
        <v>1.0</v>
      </c>
      <c r="G37" s="4">
        <v>3.0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7387277.0</v>
      </c>
      <c r="P37" s="10"/>
      <c r="Q37" s="10"/>
    </row>
    <row r="38" spans="1:19">
      <c r="A38" s="6">
        <v>15</v>
      </c>
      <c r="B38" s="4" t="s">
        <v>39</v>
      </c>
      <c r="C38" s="4">
        <v>0</v>
      </c>
      <c r="D38" s="4">
        <v>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23</v>
      </c>
      <c r="D39" s="9">
        <v>276</v>
      </c>
      <c r="E39" s="9">
        <v>184.0</v>
      </c>
      <c r="F39" s="9">
        <v>23.0</v>
      </c>
      <c r="G39" s="9">
        <v>69.0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92.0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23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7387300.0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140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146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147</v>
      </c>
      <c r="N4" s="10" t="s">
        <v>5</v>
      </c>
      <c r="O4" s="10">
        <v>251100044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68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114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148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 t="s">
        <v>39</v>
      </c>
      <c r="C9" s="4">
        <v>0</v>
      </c>
      <c r="D9" s="4">
        <v>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1524186.0</v>
      </c>
      <c r="P9" s="10"/>
      <c r="Q9" s="10"/>
    </row>
    <row r="10" spans="1:19">
      <c r="A10" s="6">
        <v>17</v>
      </c>
      <c r="B10" s="4" t="s">
        <v>39</v>
      </c>
      <c r="C10" s="4">
        <v>0</v>
      </c>
      <c r="D10" s="4">
        <v>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K10" s="10" t="s">
        <v>27</v>
      </c>
      <c r="L10" s="10"/>
      <c r="M10" s="25" t="s">
        <v>149</v>
      </c>
      <c r="N10" s="25">
        <v>264309.79</v>
      </c>
      <c r="O10" s="25"/>
      <c r="P10" s="10"/>
      <c r="Q10" s="10"/>
    </row>
    <row r="11" spans="1:19">
      <c r="A11" s="6">
        <v>18</v>
      </c>
      <c r="B11" s="4" t="s">
        <v>39</v>
      </c>
      <c r="C11" s="4">
        <v>0</v>
      </c>
      <c r="D11" s="4">
        <v>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K11" s="10" t="s">
        <v>29</v>
      </c>
      <c r="L11" s="10"/>
      <c r="M11" s="25" t="s">
        <v>150</v>
      </c>
      <c r="N11" s="25">
        <v>1057239.16</v>
      </c>
      <c r="O11" s="25"/>
      <c r="P11" s="10"/>
      <c r="Q11" s="10"/>
    </row>
    <row r="12" spans="1:19">
      <c r="A12" s="6">
        <v>19</v>
      </c>
      <c r="B12" s="4" t="s">
        <v>39</v>
      </c>
      <c r="C12" s="4">
        <v>0</v>
      </c>
      <c r="D12" s="4">
        <v>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 t="s">
        <v>39</v>
      </c>
      <c r="C13" s="4">
        <v>0</v>
      </c>
      <c r="D13" s="4">
        <v>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 t="s">
        <v>39</v>
      </c>
      <c r="C14" s="4">
        <v>0</v>
      </c>
      <c r="D14" s="4">
        <v>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1321549.0</v>
      </c>
      <c r="P14" s="10"/>
      <c r="Q14" s="10"/>
    </row>
    <row r="15" spans="1:19">
      <c r="A15" s="6">
        <v>22</v>
      </c>
      <c r="B15" s="4" t="s">
        <v>39</v>
      </c>
      <c r="C15" s="4">
        <v>0</v>
      </c>
      <c r="D15" s="4">
        <v>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>
        <v>1</v>
      </c>
      <c r="C16" s="4">
        <v>1</v>
      </c>
      <c r="D16" s="4">
        <v>12</v>
      </c>
      <c r="E16" s="4">
        <v>8.0</v>
      </c>
      <c r="F16" s="4">
        <v>1.0</v>
      </c>
      <c r="G16" s="4">
        <v>3.0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>
        <v>2</v>
      </c>
      <c r="C17" s="4">
        <v>1</v>
      </c>
      <c r="D17" s="4">
        <v>12</v>
      </c>
      <c r="E17" s="4">
        <v>8.0</v>
      </c>
      <c r="F17" s="4">
        <v>1.0</v>
      </c>
      <c r="G17" s="4">
        <v>3.0</v>
      </c>
      <c r="H17" s="4">
        <v>0.0</v>
      </c>
      <c r="I17" s="4">
        <v>0.0</v>
      </c>
      <c r="K17" s="10" t="s">
        <v>36</v>
      </c>
      <c r="L17" s="10"/>
      <c r="M17" s="27" t="s">
        <v>151</v>
      </c>
      <c r="N17" s="25">
        <v>54000</v>
      </c>
      <c r="O17" s="25"/>
      <c r="P17" s="10"/>
      <c r="Q17" s="10"/>
    </row>
    <row r="18" spans="1:19">
      <c r="A18" s="6">
        <v>25</v>
      </c>
      <c r="B18" s="4" t="s">
        <v>39</v>
      </c>
      <c r="C18" s="4">
        <v>0</v>
      </c>
      <c r="D18" s="4">
        <v>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K18" s="10" t="s">
        <v>38</v>
      </c>
      <c r="L18" s="10"/>
      <c r="M18" s="27" t="s">
        <v>151</v>
      </c>
      <c r="N18" s="25">
        <v>90000</v>
      </c>
      <c r="O18" s="25"/>
      <c r="P18" s="10"/>
      <c r="Q18" s="10"/>
    </row>
    <row r="19" spans="1:19">
      <c r="A19" s="6">
        <v>26</v>
      </c>
      <c r="B19" s="4" t="s">
        <v>39</v>
      </c>
      <c r="C19" s="4">
        <v>0</v>
      </c>
      <c r="D19" s="4">
        <v>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K19" s="10" t="s">
        <v>40</v>
      </c>
      <c r="L19" s="10"/>
      <c r="M19" s="27" t="s">
        <v>152</v>
      </c>
      <c r="N19" s="25">
        <v>177822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 t="s">
        <v>39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 t="s">
        <v>39</v>
      </c>
      <c r="C22" s="4">
        <v>0</v>
      </c>
      <c r="D22" s="4">
        <v>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321822</v>
      </c>
      <c r="P22" s="10"/>
      <c r="Q22" s="10"/>
    </row>
    <row r="23" spans="1:19">
      <c r="A23" s="6">
        <v>30</v>
      </c>
      <c r="B23" s="4" t="s">
        <v>39</v>
      </c>
      <c r="C23" s="4">
        <v>0</v>
      </c>
      <c r="D23" s="4">
        <v>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 t="s">
        <v>39</v>
      </c>
      <c r="C24" s="4">
        <v>0</v>
      </c>
      <c r="D24" s="4">
        <v>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 t="s">
        <v>39</v>
      </c>
      <c r="C25" s="4">
        <v>0</v>
      </c>
      <c r="D25" s="4">
        <v>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 t="s">
        <v>39</v>
      </c>
      <c r="C26" s="4">
        <v>0</v>
      </c>
      <c r="D26" s="4">
        <v>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 t="s">
        <v>39</v>
      </c>
      <c r="C27" s="4">
        <v>0</v>
      </c>
      <c r="D27" s="4">
        <v>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 t="s">
        <v>39</v>
      </c>
      <c r="C28" s="4">
        <v>0</v>
      </c>
      <c r="D28" s="4">
        <v>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 t="s">
        <v>39</v>
      </c>
      <c r="C29" s="4">
        <v>0</v>
      </c>
      <c r="D29" s="4">
        <v>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3372137.09</v>
      </c>
      <c r="P29" s="10"/>
      <c r="Q29" s="10"/>
    </row>
    <row r="30" spans="1:19">
      <c r="A30" s="6">
        <v>7</v>
      </c>
      <c r="B30" s="4" t="s">
        <v>39</v>
      </c>
      <c r="C30" s="4">
        <v>0</v>
      </c>
      <c r="D30" s="4">
        <v>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75</v>
      </c>
      <c r="N31" s="28" t="s">
        <v>52</v>
      </c>
      <c r="O31" s="25">
        <f>ROUNDDOWN(-(0.00),0)</f>
        <v>0</v>
      </c>
      <c r="P31" s="10"/>
      <c r="Q31" s="10"/>
    </row>
    <row r="32" spans="1:19">
      <c r="A32" s="6">
        <v>9</v>
      </c>
      <c r="B32" s="4">
        <v>1</v>
      </c>
      <c r="C32" s="4" t="s">
        <v>25</v>
      </c>
      <c r="D32" s="4">
        <v>12</v>
      </c>
      <c r="E32" s="4">
        <v>8.0</v>
      </c>
      <c r="F32" s="4">
        <v>1.0</v>
      </c>
      <c r="G32" s="4">
        <v>3.0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>
        <v>2</v>
      </c>
      <c r="C33" s="4" t="s">
        <v>25</v>
      </c>
      <c r="D33" s="4">
        <v>12</v>
      </c>
      <c r="E33" s="4">
        <v>8.0</v>
      </c>
      <c r="F33" s="4">
        <v>1.0</v>
      </c>
      <c r="G33" s="4">
        <v>3.0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>
        <v>3</v>
      </c>
      <c r="C34" s="4" t="s">
        <v>25</v>
      </c>
      <c r="D34" s="4">
        <v>12</v>
      </c>
      <c r="E34" s="4">
        <v>8.0</v>
      </c>
      <c r="F34" s="4">
        <v>1.0</v>
      </c>
      <c r="G34" s="4">
        <v>3.0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>
        <v>4</v>
      </c>
      <c r="C35" s="4" t="s">
        <v>25</v>
      </c>
      <c r="D35" s="4">
        <v>12</v>
      </c>
      <c r="E35" s="4">
        <v>8.0</v>
      </c>
      <c r="F35" s="4">
        <v>1.0</v>
      </c>
      <c r="G35" s="4">
        <v>3.0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>
        <v>5</v>
      </c>
      <c r="C36" s="4" t="s">
        <v>25</v>
      </c>
      <c r="D36" s="4">
        <v>12</v>
      </c>
      <c r="E36" s="4">
        <v>8.0</v>
      </c>
      <c r="F36" s="4">
        <v>1.0</v>
      </c>
      <c r="G36" s="4">
        <v>3.0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>
        <v>6</v>
      </c>
      <c r="C37" s="4" t="s">
        <v>25</v>
      </c>
      <c r="D37" s="4">
        <v>12</v>
      </c>
      <c r="E37" s="4">
        <v>8.0</v>
      </c>
      <c r="F37" s="4">
        <v>1.0</v>
      </c>
      <c r="G37" s="4">
        <v>3.0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3032074.0</v>
      </c>
      <c r="P37" s="10"/>
      <c r="Q37" s="10"/>
    </row>
    <row r="38" spans="1:19">
      <c r="A38" s="6">
        <v>15</v>
      </c>
      <c r="B38" s="4">
        <v>7</v>
      </c>
      <c r="C38" s="4" t="s">
        <v>25</v>
      </c>
      <c r="D38" s="4">
        <v>12</v>
      </c>
      <c r="E38" s="4">
        <v>8.0</v>
      </c>
      <c r="F38" s="4">
        <v>1.0</v>
      </c>
      <c r="G38" s="4">
        <v>3.0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9</v>
      </c>
      <c r="D39" s="9">
        <v>108</v>
      </c>
      <c r="E39" s="9">
        <v>72.0</v>
      </c>
      <c r="F39" s="9">
        <v>9.0</v>
      </c>
      <c r="G39" s="9">
        <v>27.0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36.0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26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3032100.0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147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153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154</v>
      </c>
      <c r="N4" s="10" t="s">
        <v>5</v>
      </c>
      <c r="O4" s="10">
        <v>251100039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68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69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84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>
        <v>1</v>
      </c>
      <c r="C9" s="4">
        <v>1</v>
      </c>
      <c r="D9" s="4">
        <v>12</v>
      </c>
      <c r="E9" s="4">
        <v>8.0</v>
      </c>
      <c r="F9" s="4">
        <v>1.0</v>
      </c>
      <c r="G9" s="4">
        <v>3.0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1354832.0</v>
      </c>
      <c r="P9" s="10"/>
      <c r="Q9" s="10"/>
    </row>
    <row r="10" spans="1:19">
      <c r="A10" s="6">
        <v>17</v>
      </c>
      <c r="B10" s="4">
        <v>2</v>
      </c>
      <c r="C10" s="4">
        <v>1</v>
      </c>
      <c r="D10" s="4">
        <v>12</v>
      </c>
      <c r="E10" s="4">
        <v>8.0</v>
      </c>
      <c r="F10" s="4">
        <v>1.0</v>
      </c>
      <c r="G10" s="4">
        <v>3.0</v>
      </c>
      <c r="H10" s="4">
        <v>0.0</v>
      </c>
      <c r="I10" s="4">
        <v>0.0</v>
      </c>
      <c r="K10" s="10" t="s">
        <v>27</v>
      </c>
      <c r="L10" s="10"/>
      <c r="M10" s="25" t="s">
        <v>85</v>
      </c>
      <c r="N10" s="25">
        <v>234942.03</v>
      </c>
      <c r="O10" s="25"/>
      <c r="P10" s="10"/>
      <c r="Q10" s="10"/>
    </row>
    <row r="11" spans="1:19">
      <c r="A11" s="6">
        <v>18</v>
      </c>
      <c r="B11" s="4">
        <v>3</v>
      </c>
      <c r="C11" s="4">
        <v>1</v>
      </c>
      <c r="D11" s="4">
        <v>12</v>
      </c>
      <c r="E11" s="4">
        <v>8.0</v>
      </c>
      <c r="F11" s="4">
        <v>1.0</v>
      </c>
      <c r="G11" s="4">
        <v>3.0</v>
      </c>
      <c r="H11" s="4">
        <v>0.0</v>
      </c>
      <c r="I11" s="4">
        <v>0.0</v>
      </c>
      <c r="K11" s="10" t="s">
        <v>29</v>
      </c>
      <c r="L11" s="10"/>
      <c r="M11" s="25" t="s">
        <v>86</v>
      </c>
      <c r="N11" s="25">
        <v>939768.14</v>
      </c>
      <c r="O11" s="25"/>
      <c r="P11" s="10"/>
      <c r="Q11" s="10"/>
    </row>
    <row r="12" spans="1:19">
      <c r="A12" s="6">
        <v>19</v>
      </c>
      <c r="B12" s="4">
        <v>4</v>
      </c>
      <c r="C12" s="4">
        <v>1</v>
      </c>
      <c r="D12" s="4">
        <v>12</v>
      </c>
      <c r="E12" s="4">
        <v>8.0</v>
      </c>
      <c r="F12" s="4">
        <v>1.0</v>
      </c>
      <c r="G12" s="4">
        <v>3.0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>
        <v>5</v>
      </c>
      <c r="C13" s="4">
        <v>1</v>
      </c>
      <c r="D13" s="4">
        <v>12</v>
      </c>
      <c r="E13" s="4">
        <v>8.0</v>
      </c>
      <c r="F13" s="4">
        <v>1.0</v>
      </c>
      <c r="G13" s="4">
        <v>3.0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>
        <v>6</v>
      </c>
      <c r="C14" s="4">
        <v>1</v>
      </c>
      <c r="D14" s="4">
        <v>12</v>
      </c>
      <c r="E14" s="4">
        <v>8.0</v>
      </c>
      <c r="F14" s="4">
        <v>1.0</v>
      </c>
      <c r="G14" s="4">
        <v>3.0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1174710.0</v>
      </c>
      <c r="P14" s="10"/>
      <c r="Q14" s="10"/>
    </row>
    <row r="15" spans="1:19">
      <c r="A15" s="6">
        <v>22</v>
      </c>
      <c r="B15" s="4">
        <v>7</v>
      </c>
      <c r="C15" s="4">
        <v>1</v>
      </c>
      <c r="D15" s="4">
        <v>12</v>
      </c>
      <c r="E15" s="4">
        <v>8.0</v>
      </c>
      <c r="F15" s="4">
        <v>1.0</v>
      </c>
      <c r="G15" s="4">
        <v>3.0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>
        <v>8</v>
      </c>
      <c r="C16" s="4">
        <v>1</v>
      </c>
      <c r="D16" s="4">
        <v>12</v>
      </c>
      <c r="E16" s="4">
        <v>8.0</v>
      </c>
      <c r="F16" s="4">
        <v>1.0</v>
      </c>
      <c r="G16" s="4">
        <v>3.0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 t="s">
        <v>39</v>
      </c>
      <c r="C17" s="4">
        <v>0</v>
      </c>
      <c r="D17" s="4">
        <v>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K17" s="10" t="s">
        <v>36</v>
      </c>
      <c r="L17" s="10"/>
      <c r="M17" s="27" t="s">
        <v>87</v>
      </c>
      <c r="N17" s="25">
        <v>48000</v>
      </c>
      <c r="O17" s="25"/>
      <c r="P17" s="10"/>
      <c r="Q17" s="10"/>
    </row>
    <row r="18" spans="1:19">
      <c r="A18" s="6">
        <v>25</v>
      </c>
      <c r="B18" s="4" t="s">
        <v>39</v>
      </c>
      <c r="C18" s="4">
        <v>0</v>
      </c>
      <c r="D18" s="4">
        <v>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K18" s="10" t="s">
        <v>38</v>
      </c>
      <c r="L18" s="10"/>
      <c r="M18" s="27" t="s">
        <v>87</v>
      </c>
      <c r="N18" s="25">
        <v>80000</v>
      </c>
      <c r="O18" s="25"/>
      <c r="P18" s="10"/>
      <c r="Q18" s="10"/>
    </row>
    <row r="19" spans="1:19">
      <c r="A19" s="6">
        <v>26</v>
      </c>
      <c r="B19" s="4" t="s">
        <v>39</v>
      </c>
      <c r="C19" s="4">
        <v>0</v>
      </c>
      <c r="D19" s="4">
        <v>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K19" s="10" t="s">
        <v>40</v>
      </c>
      <c r="L19" s="10"/>
      <c r="M19" s="27" t="s">
        <v>80</v>
      </c>
      <c r="N19" s="25">
        <v>0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 t="s">
        <v>39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 t="s">
        <v>39</v>
      </c>
      <c r="C22" s="4">
        <v>0</v>
      </c>
      <c r="D22" s="4">
        <v>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128000</v>
      </c>
      <c r="P22" s="10"/>
      <c r="Q22" s="10"/>
    </row>
    <row r="23" spans="1:19">
      <c r="A23" s="6">
        <v>30</v>
      </c>
      <c r="B23" s="4" t="s">
        <v>39</v>
      </c>
      <c r="C23" s="4">
        <v>0</v>
      </c>
      <c r="D23" s="4">
        <v>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 t="s">
        <v>39</v>
      </c>
      <c r="C24" s="4">
        <v>0</v>
      </c>
      <c r="D24" s="4">
        <v>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 t="s">
        <v>39</v>
      </c>
      <c r="C25" s="4">
        <v>0</v>
      </c>
      <c r="D25" s="4">
        <v>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 t="s">
        <v>39</v>
      </c>
      <c r="C26" s="4">
        <v>0</v>
      </c>
      <c r="D26" s="4">
        <v>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 t="s">
        <v>39</v>
      </c>
      <c r="C27" s="4">
        <v>0</v>
      </c>
      <c r="D27" s="4">
        <v>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 t="s">
        <v>39</v>
      </c>
      <c r="C28" s="4">
        <v>0</v>
      </c>
      <c r="D28" s="4">
        <v>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 t="s">
        <v>39</v>
      </c>
      <c r="C29" s="4">
        <v>0</v>
      </c>
      <c r="D29" s="4">
        <v>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2862122.26</v>
      </c>
      <c r="P29" s="10"/>
      <c r="Q29" s="10"/>
    </row>
    <row r="30" spans="1:19">
      <c r="A30" s="6">
        <v>7</v>
      </c>
      <c r="B30" s="4" t="s">
        <v>39</v>
      </c>
      <c r="C30" s="4">
        <v>0</v>
      </c>
      <c r="D30" s="4">
        <v>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75</v>
      </c>
      <c r="N31" s="28" t="s">
        <v>52</v>
      </c>
      <c r="O31" s="25">
        <f>ROUNDDOWN(-(0.00),0)</f>
        <v>0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39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 t="s">
        <v>39</v>
      </c>
      <c r="C37" s="4">
        <v>0</v>
      </c>
      <c r="D37" s="4">
        <v>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2522059.0</v>
      </c>
      <c r="P37" s="10"/>
      <c r="Q37" s="10"/>
    </row>
    <row r="38" spans="1:19">
      <c r="A38" s="6">
        <v>15</v>
      </c>
      <c r="B38" s="4" t="s">
        <v>39</v>
      </c>
      <c r="C38" s="4">
        <v>0</v>
      </c>
      <c r="D38" s="4">
        <v>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8</v>
      </c>
      <c r="D39" s="9">
        <v>96</v>
      </c>
      <c r="E39" s="9">
        <v>64.0</v>
      </c>
      <c r="F39" s="9">
        <v>8.0</v>
      </c>
      <c r="G39" s="9">
        <v>24.0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32.0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41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2522100.0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154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155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156</v>
      </c>
      <c r="N4" s="10" t="s">
        <v>5</v>
      </c>
      <c r="O4" s="10">
        <v>251100086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8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128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157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>
        <v>1</v>
      </c>
      <c r="C9" s="4" t="s">
        <v>25</v>
      </c>
      <c r="D9" s="4">
        <v>12</v>
      </c>
      <c r="E9" s="4">
        <v>8.0</v>
      </c>
      <c r="F9" s="4">
        <v>1.0</v>
      </c>
      <c r="G9" s="4">
        <v>3.0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1693541.0</v>
      </c>
      <c r="P9" s="10"/>
      <c r="Q9" s="10"/>
    </row>
    <row r="10" spans="1:19">
      <c r="A10" s="6">
        <v>17</v>
      </c>
      <c r="B10" s="4">
        <v>2</v>
      </c>
      <c r="C10" s="4" t="s">
        <v>25</v>
      </c>
      <c r="D10" s="4">
        <v>12</v>
      </c>
      <c r="E10" s="4">
        <v>8.0</v>
      </c>
      <c r="F10" s="4">
        <v>1.0</v>
      </c>
      <c r="G10" s="4">
        <v>3.0</v>
      </c>
      <c r="H10" s="4">
        <v>0.0</v>
      </c>
      <c r="I10" s="4">
        <v>0.0</v>
      </c>
      <c r="K10" s="10" t="s">
        <v>27</v>
      </c>
      <c r="L10" s="10"/>
      <c r="M10" s="25" t="s">
        <v>28</v>
      </c>
      <c r="N10" s="25">
        <v>293677.54</v>
      </c>
      <c r="O10" s="25"/>
      <c r="P10" s="10"/>
      <c r="Q10" s="10"/>
    </row>
    <row r="11" spans="1:19">
      <c r="A11" s="6">
        <v>18</v>
      </c>
      <c r="B11" s="4">
        <v>3</v>
      </c>
      <c r="C11" s="4" t="s">
        <v>25</v>
      </c>
      <c r="D11" s="4">
        <v>12</v>
      </c>
      <c r="E11" s="4">
        <v>8.0</v>
      </c>
      <c r="F11" s="4">
        <v>1.0</v>
      </c>
      <c r="G11" s="4">
        <v>3.0</v>
      </c>
      <c r="H11" s="4">
        <v>0.0</v>
      </c>
      <c r="I11" s="4">
        <v>0.0</v>
      </c>
      <c r="K11" s="10" t="s">
        <v>29</v>
      </c>
      <c r="L11" s="10"/>
      <c r="M11" s="25" t="s">
        <v>30</v>
      </c>
      <c r="N11" s="25">
        <v>1174710.17</v>
      </c>
      <c r="O11" s="25"/>
      <c r="P11" s="10"/>
      <c r="Q11" s="10"/>
    </row>
    <row r="12" spans="1:19">
      <c r="A12" s="6">
        <v>19</v>
      </c>
      <c r="B12" s="4">
        <v>4</v>
      </c>
      <c r="C12" s="4" t="s">
        <v>25</v>
      </c>
      <c r="D12" s="4">
        <v>12</v>
      </c>
      <c r="E12" s="4">
        <v>8.0</v>
      </c>
      <c r="F12" s="4">
        <v>1.0</v>
      </c>
      <c r="G12" s="4">
        <v>3.0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>
        <v>5</v>
      </c>
      <c r="C13" s="4" t="s">
        <v>25</v>
      </c>
      <c r="D13" s="4">
        <v>12</v>
      </c>
      <c r="E13" s="4">
        <v>8.0</v>
      </c>
      <c r="F13" s="4">
        <v>1.0</v>
      </c>
      <c r="G13" s="4">
        <v>3.0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>
        <v>6</v>
      </c>
      <c r="C14" s="4" t="s">
        <v>25</v>
      </c>
      <c r="D14" s="4">
        <v>12</v>
      </c>
      <c r="E14" s="4">
        <v>8.0</v>
      </c>
      <c r="F14" s="4">
        <v>1.0</v>
      </c>
      <c r="G14" s="4">
        <v>3.0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1468388.0</v>
      </c>
      <c r="P14" s="10"/>
      <c r="Q14" s="10"/>
    </row>
    <row r="15" spans="1:19">
      <c r="A15" s="6">
        <v>22</v>
      </c>
      <c r="B15" s="4">
        <v>7</v>
      </c>
      <c r="C15" s="4" t="s">
        <v>25</v>
      </c>
      <c r="D15" s="4">
        <v>12</v>
      </c>
      <c r="E15" s="4">
        <v>8.0</v>
      </c>
      <c r="F15" s="4">
        <v>1.0</v>
      </c>
      <c r="G15" s="4">
        <v>3.0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>
        <v>8</v>
      </c>
      <c r="C16" s="4" t="s">
        <v>25</v>
      </c>
      <c r="D16" s="4">
        <v>12</v>
      </c>
      <c r="E16" s="4">
        <v>8.0</v>
      </c>
      <c r="F16" s="4">
        <v>1.0</v>
      </c>
      <c r="G16" s="4">
        <v>3.0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>
        <v>9</v>
      </c>
      <c r="C17" s="4" t="s">
        <v>25</v>
      </c>
      <c r="D17" s="4">
        <v>12</v>
      </c>
      <c r="E17" s="4">
        <v>8.0</v>
      </c>
      <c r="F17" s="4">
        <v>1.0</v>
      </c>
      <c r="G17" s="4">
        <v>3.0</v>
      </c>
      <c r="H17" s="4">
        <v>0.0</v>
      </c>
      <c r="I17" s="4">
        <v>0.0</v>
      </c>
      <c r="K17" s="10" t="s">
        <v>36</v>
      </c>
      <c r="L17" s="10"/>
      <c r="M17" s="27" t="s">
        <v>37</v>
      </c>
      <c r="N17" s="25">
        <v>60000</v>
      </c>
      <c r="O17" s="25"/>
      <c r="P17" s="10"/>
      <c r="Q17" s="10"/>
    </row>
    <row r="18" spans="1:19">
      <c r="A18" s="6">
        <v>25</v>
      </c>
      <c r="B18" s="4">
        <v>1</v>
      </c>
      <c r="C18" s="4" t="s">
        <v>25</v>
      </c>
      <c r="D18" s="4">
        <v>12</v>
      </c>
      <c r="E18" s="4">
        <v>8.0</v>
      </c>
      <c r="F18" s="4">
        <v>1.0</v>
      </c>
      <c r="G18" s="4">
        <v>3.0</v>
      </c>
      <c r="H18" s="4">
        <v>0.0</v>
      </c>
      <c r="I18" s="4">
        <v>0.0</v>
      </c>
      <c r="K18" s="10" t="s">
        <v>38</v>
      </c>
      <c r="L18" s="10"/>
      <c r="M18" s="27" t="s">
        <v>37</v>
      </c>
      <c r="N18" s="25">
        <v>100000</v>
      </c>
      <c r="O18" s="25"/>
      <c r="P18" s="10"/>
      <c r="Q18" s="10"/>
    </row>
    <row r="19" spans="1:19">
      <c r="A19" s="6">
        <v>26</v>
      </c>
      <c r="B19" s="4" t="s">
        <v>39</v>
      </c>
      <c r="C19" s="4">
        <v>0</v>
      </c>
      <c r="D19" s="4">
        <v>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K19" s="10" t="s">
        <v>40</v>
      </c>
      <c r="L19" s="10"/>
      <c r="M19" s="27" t="s">
        <v>37</v>
      </c>
      <c r="N19" s="25">
        <v>254031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 t="s">
        <v>39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 t="s">
        <v>39</v>
      </c>
      <c r="C22" s="4">
        <v>0</v>
      </c>
      <c r="D22" s="4">
        <v>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414031</v>
      </c>
      <c r="P22" s="10"/>
      <c r="Q22" s="10"/>
    </row>
    <row r="23" spans="1:19">
      <c r="A23" s="6">
        <v>30</v>
      </c>
      <c r="B23" s="4" t="s">
        <v>39</v>
      </c>
      <c r="C23" s="4">
        <v>0</v>
      </c>
      <c r="D23" s="4">
        <v>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 t="s">
        <v>39</v>
      </c>
      <c r="C24" s="4">
        <v>0</v>
      </c>
      <c r="D24" s="4">
        <v>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 t="s">
        <v>39</v>
      </c>
      <c r="C25" s="4">
        <v>0</v>
      </c>
      <c r="D25" s="4">
        <v>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 t="s">
        <v>39</v>
      </c>
      <c r="C26" s="4">
        <v>0</v>
      </c>
      <c r="D26" s="4">
        <v>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 t="s">
        <v>39</v>
      </c>
      <c r="C27" s="4">
        <v>0</v>
      </c>
      <c r="D27" s="4">
        <v>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 t="s">
        <v>39</v>
      </c>
      <c r="C28" s="4">
        <v>0</v>
      </c>
      <c r="D28" s="4">
        <v>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 t="s">
        <v>39</v>
      </c>
      <c r="C29" s="4">
        <v>0</v>
      </c>
      <c r="D29" s="4">
        <v>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3780538.9</v>
      </c>
      <c r="P29" s="10"/>
      <c r="Q29" s="10"/>
    </row>
    <row r="30" spans="1:19">
      <c r="A30" s="6">
        <v>7</v>
      </c>
      <c r="B30" s="4" t="s">
        <v>39</v>
      </c>
      <c r="C30" s="4">
        <v>0</v>
      </c>
      <c r="D30" s="4">
        <v>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134</v>
      </c>
      <c r="N31" s="28" t="s">
        <v>52</v>
      </c>
      <c r="O31" s="25">
        <f>ROUNDDOWN(-(0.00),0)</f>
        <v>0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39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 t="s">
        <v>39</v>
      </c>
      <c r="C37" s="4">
        <v>0</v>
      </c>
      <c r="D37" s="4">
        <v>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3440476.0</v>
      </c>
      <c r="P37" s="10"/>
      <c r="Q37" s="10"/>
    </row>
    <row r="38" spans="1:19">
      <c r="A38" s="6">
        <v>15</v>
      </c>
      <c r="B38" s="4" t="s">
        <v>39</v>
      </c>
      <c r="C38" s="4">
        <v>0</v>
      </c>
      <c r="D38" s="4">
        <v>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10</v>
      </c>
      <c r="D39" s="9">
        <v>120</v>
      </c>
      <c r="E39" s="9">
        <v>80.0</v>
      </c>
      <c r="F39" s="9">
        <v>10.0</v>
      </c>
      <c r="G39" s="9">
        <v>30.0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40.0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24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3440500.0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156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158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159</v>
      </c>
      <c r="N4" s="10" t="s">
        <v>5</v>
      </c>
      <c r="O4" s="10">
        <v>251100055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160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69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161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 t="s">
        <v>39</v>
      </c>
      <c r="C9" s="4">
        <v>0</v>
      </c>
      <c r="D9" s="4">
        <v>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3725789.0</v>
      </c>
      <c r="P9" s="10"/>
      <c r="Q9" s="10"/>
    </row>
    <row r="10" spans="1:19">
      <c r="A10" s="6">
        <v>17</v>
      </c>
      <c r="B10" s="4" t="s">
        <v>39</v>
      </c>
      <c r="C10" s="4">
        <v>0</v>
      </c>
      <c r="D10" s="4">
        <v>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K10" s="10" t="s">
        <v>27</v>
      </c>
      <c r="L10" s="10"/>
      <c r="M10" s="25" t="s">
        <v>162</v>
      </c>
      <c r="N10" s="25">
        <v>646090.6</v>
      </c>
      <c r="O10" s="25"/>
      <c r="P10" s="10"/>
      <c r="Q10" s="10"/>
    </row>
    <row r="11" spans="1:19">
      <c r="A11" s="6">
        <v>18</v>
      </c>
      <c r="B11" s="4" t="s">
        <v>39</v>
      </c>
      <c r="C11" s="4">
        <v>0</v>
      </c>
      <c r="D11" s="4">
        <v>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K11" s="10" t="s">
        <v>29</v>
      </c>
      <c r="L11" s="10"/>
      <c r="M11" s="25" t="s">
        <v>163</v>
      </c>
      <c r="N11" s="25">
        <v>2584362.38</v>
      </c>
      <c r="O11" s="25"/>
      <c r="P11" s="10"/>
      <c r="Q11" s="10"/>
    </row>
    <row r="12" spans="1:19">
      <c r="A12" s="6">
        <v>19</v>
      </c>
      <c r="B12" s="4" t="s">
        <v>39</v>
      </c>
      <c r="C12" s="4">
        <v>0</v>
      </c>
      <c r="D12" s="4">
        <v>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 t="s">
        <v>39</v>
      </c>
      <c r="C13" s="4">
        <v>0</v>
      </c>
      <c r="D13" s="4">
        <v>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 t="s">
        <v>39</v>
      </c>
      <c r="C14" s="4">
        <v>0</v>
      </c>
      <c r="D14" s="4">
        <v>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3230453.0</v>
      </c>
      <c r="P14" s="10"/>
      <c r="Q14" s="10"/>
    </row>
    <row r="15" spans="1:19">
      <c r="A15" s="6">
        <v>22</v>
      </c>
      <c r="B15" s="4" t="s">
        <v>39</v>
      </c>
      <c r="C15" s="4">
        <v>0</v>
      </c>
      <c r="D15" s="4">
        <v>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 t="s">
        <v>39</v>
      </c>
      <c r="C16" s="4">
        <v>0</v>
      </c>
      <c r="D16" s="4">
        <v>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>
        <v>1</v>
      </c>
      <c r="C17" s="4">
        <v>1</v>
      </c>
      <c r="D17" s="4">
        <v>12</v>
      </c>
      <c r="E17" s="4">
        <v>8.0</v>
      </c>
      <c r="F17" s="4">
        <v>1.0</v>
      </c>
      <c r="G17" s="4">
        <v>3.0</v>
      </c>
      <c r="H17" s="4">
        <v>0.0</v>
      </c>
      <c r="I17" s="4">
        <v>0.0</v>
      </c>
      <c r="K17" s="10" t="s">
        <v>36</v>
      </c>
      <c r="L17" s="10"/>
      <c r="M17" s="27" t="s">
        <v>164</v>
      </c>
      <c r="N17" s="25">
        <v>132000</v>
      </c>
      <c r="O17" s="25"/>
      <c r="P17" s="10"/>
      <c r="Q17" s="10"/>
    </row>
    <row r="18" spans="1:19">
      <c r="A18" s="6">
        <v>25</v>
      </c>
      <c r="B18" s="4">
        <v>2</v>
      </c>
      <c r="C18" s="4">
        <v>1</v>
      </c>
      <c r="D18" s="4">
        <v>12</v>
      </c>
      <c r="E18" s="4">
        <v>8.0</v>
      </c>
      <c r="F18" s="4">
        <v>1.0</v>
      </c>
      <c r="G18" s="4">
        <v>3.0</v>
      </c>
      <c r="H18" s="4">
        <v>0.0</v>
      </c>
      <c r="I18" s="4">
        <v>0.0</v>
      </c>
      <c r="K18" s="10" t="s">
        <v>38</v>
      </c>
      <c r="L18" s="10"/>
      <c r="M18" s="27" t="s">
        <v>164</v>
      </c>
      <c r="N18" s="25">
        <v>220000</v>
      </c>
      <c r="O18" s="25"/>
      <c r="P18" s="10"/>
      <c r="Q18" s="10"/>
    </row>
    <row r="19" spans="1:19">
      <c r="A19" s="6">
        <v>26</v>
      </c>
      <c r="B19" s="4">
        <v>3</v>
      </c>
      <c r="C19" s="4">
        <v>1</v>
      </c>
      <c r="D19" s="4">
        <v>12</v>
      </c>
      <c r="E19" s="4">
        <v>8.0</v>
      </c>
      <c r="F19" s="4">
        <v>1.0</v>
      </c>
      <c r="G19" s="4">
        <v>3.0</v>
      </c>
      <c r="H19" s="4">
        <v>0.0</v>
      </c>
      <c r="I19" s="4">
        <v>0.0</v>
      </c>
      <c r="K19" s="10" t="s">
        <v>40</v>
      </c>
      <c r="L19" s="10"/>
      <c r="M19" s="27" t="s">
        <v>80</v>
      </c>
      <c r="N19" s="25">
        <v>0</v>
      </c>
      <c r="O19" s="25"/>
      <c r="P19" s="10"/>
      <c r="Q19" s="10"/>
    </row>
    <row r="20" spans="1:19">
      <c r="A20" s="6">
        <v>27</v>
      </c>
      <c r="B20" s="4">
        <v>4</v>
      </c>
      <c r="C20" s="4">
        <v>1</v>
      </c>
      <c r="D20" s="4">
        <v>12</v>
      </c>
      <c r="E20" s="4">
        <v>8.0</v>
      </c>
      <c r="F20" s="4">
        <v>1.0</v>
      </c>
      <c r="G20" s="4">
        <v>3.0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>
        <v>5</v>
      </c>
      <c r="C21" s="4">
        <v>1</v>
      </c>
      <c r="D21" s="4">
        <v>12</v>
      </c>
      <c r="E21" s="4">
        <v>8.0</v>
      </c>
      <c r="F21" s="4">
        <v>1.0</v>
      </c>
      <c r="G21" s="4">
        <v>3.0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>
        <v>6</v>
      </c>
      <c r="C22" s="4">
        <v>1</v>
      </c>
      <c r="D22" s="4">
        <v>12</v>
      </c>
      <c r="E22" s="4">
        <v>8.0</v>
      </c>
      <c r="F22" s="4">
        <v>1.0</v>
      </c>
      <c r="G22" s="4">
        <v>3.0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352000</v>
      </c>
      <c r="P22" s="10"/>
      <c r="Q22" s="10"/>
    </row>
    <row r="23" spans="1:19">
      <c r="A23" s="6">
        <v>30</v>
      </c>
      <c r="B23" s="4">
        <v>7</v>
      </c>
      <c r="C23" s="4">
        <v>1</v>
      </c>
      <c r="D23" s="4">
        <v>12</v>
      </c>
      <c r="E23" s="4">
        <v>8.0</v>
      </c>
      <c r="F23" s="4">
        <v>1.0</v>
      </c>
      <c r="G23" s="4">
        <v>3.0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>
        <v>8</v>
      </c>
      <c r="C24" s="4">
        <v>1</v>
      </c>
      <c r="D24" s="4">
        <v>12</v>
      </c>
      <c r="E24" s="4">
        <v>8.0</v>
      </c>
      <c r="F24" s="4">
        <v>1.0</v>
      </c>
      <c r="G24" s="4">
        <v>3.0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>
        <v>9</v>
      </c>
      <c r="C25" s="4">
        <v>1</v>
      </c>
      <c r="D25" s="4">
        <v>12</v>
      </c>
      <c r="E25" s="4">
        <v>8.0</v>
      </c>
      <c r="F25" s="4">
        <v>1.0</v>
      </c>
      <c r="G25" s="4">
        <v>3.0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>
        <v>1</v>
      </c>
      <c r="C26" s="4">
        <v>1</v>
      </c>
      <c r="D26" s="4">
        <v>12</v>
      </c>
      <c r="E26" s="4">
        <v>8.0</v>
      </c>
      <c r="F26" s="4">
        <v>1.0</v>
      </c>
      <c r="G26" s="4">
        <v>3.0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>
        <v>2</v>
      </c>
      <c r="C27" s="4">
        <v>1</v>
      </c>
      <c r="D27" s="4">
        <v>12</v>
      </c>
      <c r="E27" s="4">
        <v>8.0</v>
      </c>
      <c r="F27" s="4">
        <v>1.0</v>
      </c>
      <c r="G27" s="4">
        <v>3.0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>
        <v>3</v>
      </c>
      <c r="C28" s="4">
        <v>1</v>
      </c>
      <c r="D28" s="4">
        <v>12</v>
      </c>
      <c r="E28" s="4">
        <v>8.0</v>
      </c>
      <c r="F28" s="4">
        <v>1.0</v>
      </c>
      <c r="G28" s="4">
        <v>3.0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>
        <v>4</v>
      </c>
      <c r="C29" s="4">
        <v>1</v>
      </c>
      <c r="D29" s="4">
        <v>12</v>
      </c>
      <c r="E29" s="4">
        <v>8.0</v>
      </c>
      <c r="F29" s="4">
        <v>1.0</v>
      </c>
      <c r="G29" s="4">
        <v>3.0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7512821.77</v>
      </c>
      <c r="P29" s="10"/>
      <c r="Q29" s="10"/>
    </row>
    <row r="30" spans="1:19">
      <c r="A30" s="6">
        <v>7</v>
      </c>
      <c r="B30" s="4">
        <v>5</v>
      </c>
      <c r="C30" s="4">
        <v>1</v>
      </c>
      <c r="D30" s="4">
        <v>12</v>
      </c>
      <c r="E30" s="4">
        <v>8.0</v>
      </c>
      <c r="F30" s="4">
        <v>1.0</v>
      </c>
      <c r="G30" s="4">
        <v>3.0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>
        <v>6</v>
      </c>
      <c r="C31" s="4">
        <v>1</v>
      </c>
      <c r="D31" s="4">
        <v>12</v>
      </c>
      <c r="E31" s="4">
        <v>8.0</v>
      </c>
      <c r="F31" s="4">
        <v>1.0</v>
      </c>
      <c r="G31" s="4">
        <v>3.0</v>
      </c>
      <c r="H31" s="4">
        <v>0.0</v>
      </c>
      <c r="I31" s="4">
        <v>0.0</v>
      </c>
      <c r="K31" s="10" t="s">
        <v>50</v>
      </c>
      <c r="L31" s="10"/>
      <c r="M31" s="28" t="s">
        <v>75</v>
      </c>
      <c r="N31" s="28" t="s">
        <v>165</v>
      </c>
      <c r="O31" s="25">
        <f>ROUNDDOWN(-(75128.00),0)</f>
        <v>-75128</v>
      </c>
      <c r="P31" s="10"/>
      <c r="Q31" s="10"/>
    </row>
    <row r="32" spans="1:19">
      <c r="A32" s="6">
        <v>9</v>
      </c>
      <c r="B32" s="4">
        <v>7</v>
      </c>
      <c r="C32" s="4">
        <v>1</v>
      </c>
      <c r="D32" s="4">
        <v>12</v>
      </c>
      <c r="E32" s="4">
        <v>8.0</v>
      </c>
      <c r="F32" s="4">
        <v>1.0</v>
      </c>
      <c r="G32" s="4">
        <v>3.0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>
        <v>8</v>
      </c>
      <c r="C33" s="4">
        <v>1</v>
      </c>
      <c r="D33" s="4">
        <v>12</v>
      </c>
      <c r="E33" s="4">
        <v>8.0</v>
      </c>
      <c r="F33" s="4">
        <v>1.0</v>
      </c>
      <c r="G33" s="4">
        <v>3.0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>
        <v>9</v>
      </c>
      <c r="C34" s="4">
        <v>1</v>
      </c>
      <c r="D34" s="4">
        <v>12</v>
      </c>
      <c r="E34" s="4">
        <v>8.0</v>
      </c>
      <c r="F34" s="4">
        <v>1.0</v>
      </c>
      <c r="G34" s="4">
        <v>3.0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>
        <v>1</v>
      </c>
      <c r="C35" s="4">
        <v>1</v>
      </c>
      <c r="D35" s="4">
        <v>12</v>
      </c>
      <c r="E35" s="4">
        <v>8.0</v>
      </c>
      <c r="F35" s="4">
        <v>1.0</v>
      </c>
      <c r="G35" s="4">
        <v>3.0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>
        <v>2</v>
      </c>
      <c r="C36" s="4">
        <v>1</v>
      </c>
      <c r="D36" s="4">
        <v>12</v>
      </c>
      <c r="E36" s="4">
        <v>8.0</v>
      </c>
      <c r="F36" s="4">
        <v>1.0</v>
      </c>
      <c r="G36" s="4">
        <v>3.0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>
        <v>3</v>
      </c>
      <c r="C37" s="4">
        <v>1</v>
      </c>
      <c r="D37" s="4">
        <v>12</v>
      </c>
      <c r="E37" s="4">
        <v>8.0</v>
      </c>
      <c r="F37" s="4">
        <v>1.0</v>
      </c>
      <c r="G37" s="4">
        <v>3.0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7097631.0</v>
      </c>
      <c r="P37" s="10"/>
      <c r="Q37" s="10"/>
    </row>
    <row r="38" spans="1:19">
      <c r="A38" s="6">
        <v>15</v>
      </c>
      <c r="B38" s="4">
        <v>4</v>
      </c>
      <c r="C38" s="4">
        <v>1</v>
      </c>
      <c r="D38" s="4">
        <v>12</v>
      </c>
      <c r="E38" s="4">
        <v>8.0</v>
      </c>
      <c r="F38" s="4">
        <v>1.0</v>
      </c>
      <c r="G38" s="4">
        <v>3.0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22</v>
      </c>
      <c r="D39" s="9">
        <v>264</v>
      </c>
      <c r="E39" s="9">
        <v>176.0</v>
      </c>
      <c r="F39" s="9">
        <v>22.0</v>
      </c>
      <c r="G39" s="9">
        <v>66.0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88.0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-31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7097600.0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159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166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167</v>
      </c>
      <c r="N4" s="10" t="s">
        <v>5</v>
      </c>
      <c r="O4" s="10">
        <v>250900026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110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19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168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>
        <v>1</v>
      </c>
      <c r="C9" s="4" t="s">
        <v>25</v>
      </c>
      <c r="D9" s="4">
        <v>12</v>
      </c>
      <c r="E9" s="4">
        <v>8.0</v>
      </c>
      <c r="F9" s="4">
        <v>1.0</v>
      </c>
      <c r="G9" s="4">
        <v>3.0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3048373.0</v>
      </c>
      <c r="P9" s="10"/>
      <c r="Q9" s="10"/>
    </row>
    <row r="10" spans="1:19">
      <c r="A10" s="6">
        <v>17</v>
      </c>
      <c r="B10" s="4">
        <v>2</v>
      </c>
      <c r="C10" s="4" t="s">
        <v>25</v>
      </c>
      <c r="D10" s="4">
        <v>12</v>
      </c>
      <c r="E10" s="4">
        <v>8.0</v>
      </c>
      <c r="F10" s="4">
        <v>1.0</v>
      </c>
      <c r="G10" s="4">
        <v>3.0</v>
      </c>
      <c r="H10" s="4">
        <v>0.0</v>
      </c>
      <c r="I10" s="4">
        <v>0.0</v>
      </c>
      <c r="K10" s="10" t="s">
        <v>27</v>
      </c>
      <c r="L10" s="10"/>
      <c r="M10" s="25" t="s">
        <v>169</v>
      </c>
      <c r="N10" s="25">
        <v>528619.58</v>
      </c>
      <c r="O10" s="25"/>
      <c r="P10" s="10"/>
      <c r="Q10" s="10"/>
    </row>
    <row r="11" spans="1:19">
      <c r="A11" s="6">
        <v>18</v>
      </c>
      <c r="B11" s="4">
        <v>3</v>
      </c>
      <c r="C11" s="4" t="s">
        <v>25</v>
      </c>
      <c r="D11" s="4">
        <v>12</v>
      </c>
      <c r="E11" s="4">
        <v>8.0</v>
      </c>
      <c r="F11" s="4">
        <v>1.0</v>
      </c>
      <c r="G11" s="4">
        <v>3.0</v>
      </c>
      <c r="H11" s="4">
        <v>0.0</v>
      </c>
      <c r="I11" s="4">
        <v>0.0</v>
      </c>
      <c r="K11" s="10" t="s">
        <v>29</v>
      </c>
      <c r="L11" s="10"/>
      <c r="M11" s="25" t="s">
        <v>170</v>
      </c>
      <c r="N11" s="25">
        <v>2114478.31</v>
      </c>
      <c r="O11" s="25"/>
      <c r="P11" s="10"/>
      <c r="Q11" s="10"/>
    </row>
    <row r="12" spans="1:19">
      <c r="A12" s="6">
        <v>19</v>
      </c>
      <c r="B12" s="4">
        <v>4</v>
      </c>
      <c r="C12" s="4" t="s">
        <v>25</v>
      </c>
      <c r="D12" s="4">
        <v>12</v>
      </c>
      <c r="E12" s="4">
        <v>8.0</v>
      </c>
      <c r="F12" s="4">
        <v>1.0</v>
      </c>
      <c r="G12" s="4">
        <v>3.0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>
        <v>5</v>
      </c>
      <c r="C13" s="4" t="s">
        <v>25</v>
      </c>
      <c r="D13" s="4">
        <v>12</v>
      </c>
      <c r="E13" s="4">
        <v>8.0</v>
      </c>
      <c r="F13" s="4">
        <v>1.0</v>
      </c>
      <c r="G13" s="4">
        <v>3.0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>
        <v>6</v>
      </c>
      <c r="C14" s="4" t="s">
        <v>25</v>
      </c>
      <c r="D14" s="4">
        <v>12</v>
      </c>
      <c r="E14" s="4">
        <v>8.0</v>
      </c>
      <c r="F14" s="4">
        <v>1.0</v>
      </c>
      <c r="G14" s="4">
        <v>3.0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2643098.0</v>
      </c>
      <c r="P14" s="10"/>
      <c r="Q14" s="10"/>
    </row>
    <row r="15" spans="1:19">
      <c r="A15" s="6">
        <v>22</v>
      </c>
      <c r="B15" s="4">
        <v>7</v>
      </c>
      <c r="C15" s="4" t="s">
        <v>25</v>
      </c>
      <c r="D15" s="4">
        <v>12</v>
      </c>
      <c r="E15" s="4">
        <v>8.0</v>
      </c>
      <c r="F15" s="4">
        <v>1.0</v>
      </c>
      <c r="G15" s="4">
        <v>3.0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>
        <v>8</v>
      </c>
      <c r="C16" s="4" t="s">
        <v>25</v>
      </c>
      <c r="D16" s="4">
        <v>12</v>
      </c>
      <c r="E16" s="4">
        <v>8.0</v>
      </c>
      <c r="F16" s="4">
        <v>1.0</v>
      </c>
      <c r="G16" s="4">
        <v>3.0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>
        <v>9</v>
      </c>
      <c r="C17" s="4" t="s">
        <v>25</v>
      </c>
      <c r="D17" s="4">
        <v>12</v>
      </c>
      <c r="E17" s="4">
        <v>8.0</v>
      </c>
      <c r="F17" s="4">
        <v>1.0</v>
      </c>
      <c r="G17" s="4">
        <v>3.0</v>
      </c>
      <c r="H17" s="4">
        <v>0.0</v>
      </c>
      <c r="I17" s="4">
        <v>0.0</v>
      </c>
      <c r="K17" s="10" t="s">
        <v>36</v>
      </c>
      <c r="L17" s="10"/>
      <c r="M17" s="27" t="s">
        <v>171</v>
      </c>
      <c r="N17" s="25">
        <v>108000</v>
      </c>
      <c r="O17" s="25"/>
      <c r="P17" s="10"/>
      <c r="Q17" s="10"/>
    </row>
    <row r="18" spans="1:19">
      <c r="A18" s="6">
        <v>25</v>
      </c>
      <c r="B18" s="4">
        <v>1</v>
      </c>
      <c r="C18" s="4" t="s">
        <v>25</v>
      </c>
      <c r="D18" s="4">
        <v>12</v>
      </c>
      <c r="E18" s="4">
        <v>8.0</v>
      </c>
      <c r="F18" s="4">
        <v>1.0</v>
      </c>
      <c r="G18" s="4">
        <v>3.0</v>
      </c>
      <c r="H18" s="4">
        <v>0.0</v>
      </c>
      <c r="I18" s="4">
        <v>0.0</v>
      </c>
      <c r="K18" s="10" t="s">
        <v>38</v>
      </c>
      <c r="L18" s="10"/>
      <c r="M18" s="27" t="s">
        <v>171</v>
      </c>
      <c r="N18" s="25">
        <v>180000</v>
      </c>
      <c r="O18" s="25"/>
      <c r="P18" s="10"/>
      <c r="Q18" s="10"/>
    </row>
    <row r="19" spans="1:19">
      <c r="A19" s="6">
        <v>26</v>
      </c>
      <c r="B19" s="4" t="s">
        <v>39</v>
      </c>
      <c r="C19" s="4">
        <v>0</v>
      </c>
      <c r="D19" s="4">
        <v>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K19" s="10" t="s">
        <v>40</v>
      </c>
      <c r="L19" s="10"/>
      <c r="M19" s="27" t="s">
        <v>171</v>
      </c>
      <c r="N19" s="25">
        <v>457256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 t="s">
        <v>39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>
        <v>1</v>
      </c>
      <c r="C22" s="4" t="s">
        <v>25</v>
      </c>
      <c r="D22" s="4">
        <v>12</v>
      </c>
      <c r="E22" s="4">
        <v>8.0</v>
      </c>
      <c r="F22" s="4">
        <v>1.0</v>
      </c>
      <c r="G22" s="4">
        <v>3.0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745256</v>
      </c>
      <c r="P22" s="10"/>
      <c r="Q22" s="10"/>
    </row>
    <row r="23" spans="1:19">
      <c r="A23" s="6">
        <v>30</v>
      </c>
      <c r="B23" s="4">
        <v>2</v>
      </c>
      <c r="C23" s="4" t="s">
        <v>25</v>
      </c>
      <c r="D23" s="4">
        <v>12</v>
      </c>
      <c r="E23" s="4">
        <v>8.0</v>
      </c>
      <c r="F23" s="4">
        <v>1.0</v>
      </c>
      <c r="G23" s="4">
        <v>3.0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>
        <v>3</v>
      </c>
      <c r="C24" s="4" t="s">
        <v>25</v>
      </c>
      <c r="D24" s="4">
        <v>12</v>
      </c>
      <c r="E24" s="4">
        <v>8.0</v>
      </c>
      <c r="F24" s="4">
        <v>1.0</v>
      </c>
      <c r="G24" s="4">
        <v>3.0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>
        <v>4</v>
      </c>
      <c r="C25" s="4" t="s">
        <v>25</v>
      </c>
      <c r="D25" s="4">
        <v>12</v>
      </c>
      <c r="E25" s="4">
        <v>8.0</v>
      </c>
      <c r="F25" s="4">
        <v>1.0</v>
      </c>
      <c r="G25" s="4">
        <v>3.0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>
        <v>5</v>
      </c>
      <c r="C26" s="4" t="s">
        <v>25</v>
      </c>
      <c r="D26" s="4">
        <v>12</v>
      </c>
      <c r="E26" s="4">
        <v>8.0</v>
      </c>
      <c r="F26" s="4">
        <v>1.0</v>
      </c>
      <c r="G26" s="4">
        <v>3.0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>
        <v>6</v>
      </c>
      <c r="C27" s="4" t="s">
        <v>25</v>
      </c>
      <c r="D27" s="4">
        <v>12</v>
      </c>
      <c r="E27" s="4">
        <v>8.0</v>
      </c>
      <c r="F27" s="4">
        <v>1.0</v>
      </c>
      <c r="G27" s="4">
        <v>3.0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>
        <v>7</v>
      </c>
      <c r="C28" s="4" t="s">
        <v>25</v>
      </c>
      <c r="D28" s="4">
        <v>12</v>
      </c>
      <c r="E28" s="4">
        <v>8.0</v>
      </c>
      <c r="F28" s="4">
        <v>1.0</v>
      </c>
      <c r="G28" s="4">
        <v>3.0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>
        <v>8</v>
      </c>
      <c r="C29" s="4" t="s">
        <v>25</v>
      </c>
      <c r="D29" s="4">
        <v>12</v>
      </c>
      <c r="E29" s="4">
        <v>8.0</v>
      </c>
      <c r="F29" s="4">
        <v>1.0</v>
      </c>
      <c r="G29" s="4">
        <v>3.0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6641306.48</v>
      </c>
      <c r="P29" s="10"/>
      <c r="Q29" s="10"/>
    </row>
    <row r="30" spans="1:19">
      <c r="A30" s="6">
        <v>7</v>
      </c>
      <c r="B30" s="4" t="s">
        <v>39</v>
      </c>
      <c r="C30" s="4">
        <v>0</v>
      </c>
      <c r="D30" s="4">
        <v>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51</v>
      </c>
      <c r="N31" s="28" t="s">
        <v>165</v>
      </c>
      <c r="O31" s="25">
        <f>ROUNDDOWN(-(66413.00),0)</f>
        <v>-66413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39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 t="s">
        <v>39</v>
      </c>
      <c r="C37" s="4">
        <v>0</v>
      </c>
      <c r="D37" s="4">
        <v>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6234831.0</v>
      </c>
      <c r="P37" s="10"/>
      <c r="Q37" s="10"/>
    </row>
    <row r="38" spans="1:19">
      <c r="A38" s="6">
        <v>15</v>
      </c>
      <c r="B38" s="4" t="s">
        <v>39</v>
      </c>
      <c r="C38" s="4">
        <v>0</v>
      </c>
      <c r="D38" s="4">
        <v>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18</v>
      </c>
      <c r="D39" s="9">
        <v>216</v>
      </c>
      <c r="E39" s="9">
        <v>144.0</v>
      </c>
      <c r="F39" s="9">
        <v>18.0</v>
      </c>
      <c r="G39" s="9">
        <v>54.0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72.0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-31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6234800.0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167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172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173</v>
      </c>
      <c r="N4" s="10" t="s">
        <v>5</v>
      </c>
      <c r="O4" s="10">
        <v>251100045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68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19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174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>
        <v>1</v>
      </c>
      <c r="C9" s="4">
        <v>1</v>
      </c>
      <c r="D9" s="4">
        <v>12</v>
      </c>
      <c r="E9" s="4">
        <v>8.0</v>
      </c>
      <c r="F9" s="4">
        <v>1.0</v>
      </c>
      <c r="G9" s="4">
        <v>3.0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3048373.0</v>
      </c>
      <c r="P9" s="10"/>
      <c r="Q9" s="10"/>
    </row>
    <row r="10" spans="1:19">
      <c r="A10" s="6">
        <v>17</v>
      </c>
      <c r="B10" s="4">
        <v>2</v>
      </c>
      <c r="C10" s="4">
        <v>1</v>
      </c>
      <c r="D10" s="4">
        <v>12</v>
      </c>
      <c r="E10" s="4">
        <v>8.0</v>
      </c>
      <c r="F10" s="4">
        <v>1.0</v>
      </c>
      <c r="G10" s="4">
        <v>3.0</v>
      </c>
      <c r="H10" s="4">
        <v>0.0</v>
      </c>
      <c r="I10" s="4">
        <v>0.0</v>
      </c>
      <c r="K10" s="10" t="s">
        <v>27</v>
      </c>
      <c r="L10" s="10"/>
      <c r="M10" s="25" t="s">
        <v>169</v>
      </c>
      <c r="N10" s="25">
        <v>528619.58</v>
      </c>
      <c r="O10" s="25"/>
      <c r="P10" s="10"/>
      <c r="Q10" s="10"/>
    </row>
    <row r="11" spans="1:19">
      <c r="A11" s="6">
        <v>18</v>
      </c>
      <c r="B11" s="4">
        <v>3</v>
      </c>
      <c r="C11" s="4">
        <v>1</v>
      </c>
      <c r="D11" s="4">
        <v>12</v>
      </c>
      <c r="E11" s="4">
        <v>8.0</v>
      </c>
      <c r="F11" s="4">
        <v>1.0</v>
      </c>
      <c r="G11" s="4">
        <v>3.0</v>
      </c>
      <c r="H11" s="4">
        <v>0.0</v>
      </c>
      <c r="I11" s="4">
        <v>0.0</v>
      </c>
      <c r="K11" s="10" t="s">
        <v>29</v>
      </c>
      <c r="L11" s="10"/>
      <c r="M11" s="25" t="s">
        <v>170</v>
      </c>
      <c r="N11" s="25">
        <v>2114478.31</v>
      </c>
      <c r="O11" s="25"/>
      <c r="P11" s="10"/>
      <c r="Q11" s="10"/>
    </row>
    <row r="12" spans="1:19">
      <c r="A12" s="6">
        <v>19</v>
      </c>
      <c r="B12" s="4">
        <v>4</v>
      </c>
      <c r="C12" s="4">
        <v>1</v>
      </c>
      <c r="D12" s="4">
        <v>12</v>
      </c>
      <c r="E12" s="4">
        <v>8.0</v>
      </c>
      <c r="F12" s="4">
        <v>1.0</v>
      </c>
      <c r="G12" s="4">
        <v>3.0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>
        <v>5</v>
      </c>
      <c r="C13" s="4">
        <v>1</v>
      </c>
      <c r="D13" s="4">
        <v>12</v>
      </c>
      <c r="E13" s="4">
        <v>8.0</v>
      </c>
      <c r="F13" s="4">
        <v>1.0</v>
      </c>
      <c r="G13" s="4">
        <v>3.0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>
        <v>6</v>
      </c>
      <c r="C14" s="4">
        <v>1</v>
      </c>
      <c r="D14" s="4">
        <v>12</v>
      </c>
      <c r="E14" s="4">
        <v>8.0</v>
      </c>
      <c r="F14" s="4">
        <v>1.0</v>
      </c>
      <c r="G14" s="4">
        <v>3.0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2643098.0</v>
      </c>
      <c r="P14" s="10"/>
      <c r="Q14" s="10"/>
    </row>
    <row r="15" spans="1:19">
      <c r="A15" s="6">
        <v>22</v>
      </c>
      <c r="B15" s="4">
        <v>7</v>
      </c>
      <c r="C15" s="4">
        <v>1</v>
      </c>
      <c r="D15" s="4">
        <v>12</v>
      </c>
      <c r="E15" s="4">
        <v>8.0</v>
      </c>
      <c r="F15" s="4">
        <v>1.0</v>
      </c>
      <c r="G15" s="4">
        <v>3.0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>
        <v>8</v>
      </c>
      <c r="C16" s="4">
        <v>1</v>
      </c>
      <c r="D16" s="4">
        <v>12</v>
      </c>
      <c r="E16" s="4">
        <v>8.0</v>
      </c>
      <c r="F16" s="4">
        <v>1.0</v>
      </c>
      <c r="G16" s="4">
        <v>3.0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>
        <v>9</v>
      </c>
      <c r="C17" s="4">
        <v>1</v>
      </c>
      <c r="D17" s="4">
        <v>12</v>
      </c>
      <c r="E17" s="4">
        <v>8.0</v>
      </c>
      <c r="F17" s="4">
        <v>1.0</v>
      </c>
      <c r="G17" s="4">
        <v>3.0</v>
      </c>
      <c r="H17" s="4">
        <v>0.0</v>
      </c>
      <c r="I17" s="4">
        <v>0.0</v>
      </c>
      <c r="K17" s="10" t="s">
        <v>36</v>
      </c>
      <c r="L17" s="10"/>
      <c r="M17" s="27" t="s">
        <v>171</v>
      </c>
      <c r="N17" s="25">
        <v>108000</v>
      </c>
      <c r="O17" s="25"/>
      <c r="P17" s="10"/>
      <c r="Q17" s="10"/>
    </row>
    <row r="18" spans="1:19">
      <c r="A18" s="6">
        <v>25</v>
      </c>
      <c r="B18" s="4">
        <v>1</v>
      </c>
      <c r="C18" s="4">
        <v>1</v>
      </c>
      <c r="D18" s="4">
        <v>12</v>
      </c>
      <c r="E18" s="4">
        <v>8.0</v>
      </c>
      <c r="F18" s="4">
        <v>1.0</v>
      </c>
      <c r="G18" s="4">
        <v>3.0</v>
      </c>
      <c r="H18" s="4">
        <v>0.0</v>
      </c>
      <c r="I18" s="4">
        <v>0.0</v>
      </c>
      <c r="K18" s="10" t="s">
        <v>38</v>
      </c>
      <c r="L18" s="10"/>
      <c r="M18" s="27" t="s">
        <v>171</v>
      </c>
      <c r="N18" s="25">
        <v>180000</v>
      </c>
      <c r="O18" s="25"/>
      <c r="P18" s="10"/>
      <c r="Q18" s="10"/>
    </row>
    <row r="19" spans="1:19">
      <c r="A19" s="6">
        <v>26</v>
      </c>
      <c r="B19" s="4">
        <v>2</v>
      </c>
      <c r="C19" s="4">
        <v>1</v>
      </c>
      <c r="D19" s="4">
        <v>12</v>
      </c>
      <c r="E19" s="4">
        <v>8.0</v>
      </c>
      <c r="F19" s="4">
        <v>1.0</v>
      </c>
      <c r="G19" s="4">
        <v>3.0</v>
      </c>
      <c r="H19" s="4">
        <v>0.0</v>
      </c>
      <c r="I19" s="4">
        <v>0.0</v>
      </c>
      <c r="K19" s="10" t="s">
        <v>40</v>
      </c>
      <c r="L19" s="10"/>
      <c r="M19" s="27" t="s">
        <v>80</v>
      </c>
      <c r="N19" s="25">
        <v>0</v>
      </c>
      <c r="O19" s="25"/>
      <c r="P19" s="10"/>
      <c r="Q19" s="10"/>
    </row>
    <row r="20" spans="1:19">
      <c r="A20" s="6">
        <v>27</v>
      </c>
      <c r="B20" s="4">
        <v>3</v>
      </c>
      <c r="C20" s="4">
        <v>1</v>
      </c>
      <c r="D20" s="4">
        <v>12</v>
      </c>
      <c r="E20" s="4">
        <v>8.0</v>
      </c>
      <c r="F20" s="4">
        <v>1.0</v>
      </c>
      <c r="G20" s="4">
        <v>3.0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 t="s">
        <v>39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 t="s">
        <v>39</v>
      </c>
      <c r="C22" s="4">
        <v>0</v>
      </c>
      <c r="D22" s="4">
        <v>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288000</v>
      </c>
      <c r="P22" s="10"/>
      <c r="Q22" s="10"/>
    </row>
    <row r="23" spans="1:19">
      <c r="A23" s="6">
        <v>30</v>
      </c>
      <c r="B23" s="4" t="s">
        <v>39</v>
      </c>
      <c r="C23" s="4">
        <v>0</v>
      </c>
      <c r="D23" s="4">
        <v>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 t="s">
        <v>39</v>
      </c>
      <c r="C24" s="4">
        <v>0</v>
      </c>
      <c r="D24" s="4">
        <v>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 t="s">
        <v>39</v>
      </c>
      <c r="C25" s="4">
        <v>0</v>
      </c>
      <c r="D25" s="4">
        <v>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 t="s">
        <v>39</v>
      </c>
      <c r="C26" s="4">
        <v>0</v>
      </c>
      <c r="D26" s="4">
        <v>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 t="s">
        <v>39</v>
      </c>
      <c r="C27" s="4">
        <v>0</v>
      </c>
      <c r="D27" s="4">
        <v>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 t="s">
        <v>39</v>
      </c>
      <c r="C28" s="4">
        <v>0</v>
      </c>
      <c r="D28" s="4">
        <v>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 t="s">
        <v>39</v>
      </c>
      <c r="C29" s="4">
        <v>0</v>
      </c>
      <c r="D29" s="4">
        <v>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6184050.48</v>
      </c>
      <c r="P29" s="10"/>
      <c r="Q29" s="10"/>
    </row>
    <row r="30" spans="1:19">
      <c r="A30" s="6">
        <v>7</v>
      </c>
      <c r="B30" s="4" t="s">
        <v>39</v>
      </c>
      <c r="C30" s="4">
        <v>0</v>
      </c>
      <c r="D30" s="4">
        <v>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51</v>
      </c>
      <c r="N31" s="28" t="s">
        <v>175</v>
      </c>
      <c r="O31" s="25">
        <f>ROUNDDOWN(-(46380.00),0)</f>
        <v>-46380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>
        <v>1</v>
      </c>
      <c r="C33" s="4">
        <v>1</v>
      </c>
      <c r="D33" s="4">
        <v>12</v>
      </c>
      <c r="E33" s="4">
        <v>8.0</v>
      </c>
      <c r="F33" s="4">
        <v>1.0</v>
      </c>
      <c r="G33" s="4">
        <v>3.0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>
        <v>2</v>
      </c>
      <c r="C34" s="4">
        <v>1</v>
      </c>
      <c r="D34" s="4">
        <v>12</v>
      </c>
      <c r="E34" s="4">
        <v>8.0</v>
      </c>
      <c r="F34" s="4">
        <v>1.0</v>
      </c>
      <c r="G34" s="4">
        <v>3.0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>
        <v>3</v>
      </c>
      <c r="C35" s="4">
        <v>1</v>
      </c>
      <c r="D35" s="4">
        <v>12</v>
      </c>
      <c r="E35" s="4">
        <v>8.0</v>
      </c>
      <c r="F35" s="4">
        <v>1.0</v>
      </c>
      <c r="G35" s="4">
        <v>3.0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>
        <v>4</v>
      </c>
      <c r="C36" s="4">
        <v>1</v>
      </c>
      <c r="D36" s="4">
        <v>12</v>
      </c>
      <c r="E36" s="4">
        <v>8.0</v>
      </c>
      <c r="F36" s="4">
        <v>1.0</v>
      </c>
      <c r="G36" s="4">
        <v>3.0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>
        <v>5</v>
      </c>
      <c r="C37" s="4">
        <v>1</v>
      </c>
      <c r="D37" s="4">
        <v>12</v>
      </c>
      <c r="E37" s="4">
        <v>8.0</v>
      </c>
      <c r="F37" s="4">
        <v>1.0</v>
      </c>
      <c r="G37" s="4">
        <v>3.0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5797608.0</v>
      </c>
      <c r="P37" s="10"/>
      <c r="Q37" s="10"/>
    </row>
    <row r="38" spans="1:19">
      <c r="A38" s="6">
        <v>15</v>
      </c>
      <c r="B38" s="4">
        <v>6</v>
      </c>
      <c r="C38" s="4">
        <v>1</v>
      </c>
      <c r="D38" s="4">
        <v>12</v>
      </c>
      <c r="E38" s="4">
        <v>8.0</v>
      </c>
      <c r="F38" s="4">
        <v>1.0</v>
      </c>
      <c r="G38" s="4">
        <v>3.0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18</v>
      </c>
      <c r="D39" s="9">
        <v>216</v>
      </c>
      <c r="E39" s="9">
        <v>144.0</v>
      </c>
      <c r="F39" s="9">
        <v>18.0</v>
      </c>
      <c r="G39" s="9">
        <v>54.0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72.0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-8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5797600.0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173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176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177</v>
      </c>
      <c r="N4" s="10" t="s">
        <v>5</v>
      </c>
      <c r="O4" s="10">
        <v>251100088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160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128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178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>
        <v>1</v>
      </c>
      <c r="C9" s="4">
        <v>1</v>
      </c>
      <c r="D9" s="4">
        <v>12</v>
      </c>
      <c r="E9" s="4">
        <v>8.0</v>
      </c>
      <c r="F9" s="4">
        <v>1.0</v>
      </c>
      <c r="G9" s="4">
        <v>3.0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3895143.0</v>
      </c>
      <c r="P9" s="10"/>
      <c r="Q9" s="10"/>
    </row>
    <row r="10" spans="1:19">
      <c r="A10" s="6">
        <v>17</v>
      </c>
      <c r="B10" s="4">
        <v>2</v>
      </c>
      <c r="C10" s="4">
        <v>1</v>
      </c>
      <c r="D10" s="4">
        <v>12</v>
      </c>
      <c r="E10" s="4">
        <v>8.0</v>
      </c>
      <c r="F10" s="4">
        <v>1.0</v>
      </c>
      <c r="G10" s="4">
        <v>3.0</v>
      </c>
      <c r="H10" s="4">
        <v>0.0</v>
      </c>
      <c r="I10" s="4">
        <v>0.0</v>
      </c>
      <c r="K10" s="10" t="s">
        <v>27</v>
      </c>
      <c r="L10" s="10"/>
      <c r="M10" s="25" t="s">
        <v>142</v>
      </c>
      <c r="N10" s="25">
        <v>675458.35</v>
      </c>
      <c r="O10" s="25"/>
      <c r="P10" s="10"/>
      <c r="Q10" s="10"/>
    </row>
    <row r="11" spans="1:19">
      <c r="A11" s="6">
        <v>18</v>
      </c>
      <c r="B11" s="4">
        <v>3</v>
      </c>
      <c r="C11" s="4">
        <v>1</v>
      </c>
      <c r="D11" s="4">
        <v>12</v>
      </c>
      <c r="E11" s="4">
        <v>8.0</v>
      </c>
      <c r="F11" s="4">
        <v>1.0</v>
      </c>
      <c r="G11" s="4">
        <v>3.0</v>
      </c>
      <c r="H11" s="4">
        <v>0.0</v>
      </c>
      <c r="I11" s="4">
        <v>0.0</v>
      </c>
      <c r="K11" s="10" t="s">
        <v>29</v>
      </c>
      <c r="L11" s="10"/>
      <c r="M11" s="25" t="s">
        <v>143</v>
      </c>
      <c r="N11" s="25">
        <v>2701833.4</v>
      </c>
      <c r="O11" s="25"/>
      <c r="P11" s="10"/>
      <c r="Q11" s="10"/>
    </row>
    <row r="12" spans="1:19">
      <c r="A12" s="6">
        <v>19</v>
      </c>
      <c r="B12" s="4">
        <v>4</v>
      </c>
      <c r="C12" s="4">
        <v>1</v>
      </c>
      <c r="D12" s="4">
        <v>12</v>
      </c>
      <c r="E12" s="4">
        <v>8.0</v>
      </c>
      <c r="F12" s="4">
        <v>1.0</v>
      </c>
      <c r="G12" s="4">
        <v>3.0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>
        <v>5</v>
      </c>
      <c r="C13" s="4">
        <v>1</v>
      </c>
      <c r="D13" s="4">
        <v>12</v>
      </c>
      <c r="E13" s="4">
        <v>8.0</v>
      </c>
      <c r="F13" s="4">
        <v>1.0</v>
      </c>
      <c r="G13" s="4">
        <v>3.0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>
        <v>6</v>
      </c>
      <c r="C14" s="4">
        <v>1</v>
      </c>
      <c r="D14" s="4">
        <v>12</v>
      </c>
      <c r="E14" s="4">
        <v>8.0</v>
      </c>
      <c r="F14" s="4">
        <v>1.0</v>
      </c>
      <c r="G14" s="4">
        <v>3.0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3377292.0</v>
      </c>
      <c r="P14" s="10"/>
      <c r="Q14" s="10"/>
    </row>
    <row r="15" spans="1:19">
      <c r="A15" s="6">
        <v>22</v>
      </c>
      <c r="B15" s="4">
        <v>7</v>
      </c>
      <c r="C15" s="4">
        <v>1</v>
      </c>
      <c r="D15" s="4">
        <v>12</v>
      </c>
      <c r="E15" s="4">
        <v>8.0</v>
      </c>
      <c r="F15" s="4">
        <v>1.0</v>
      </c>
      <c r="G15" s="4">
        <v>3.0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>
        <v>8</v>
      </c>
      <c r="C16" s="4">
        <v>1</v>
      </c>
      <c r="D16" s="4">
        <v>12</v>
      </c>
      <c r="E16" s="4">
        <v>8.0</v>
      </c>
      <c r="F16" s="4">
        <v>1.0</v>
      </c>
      <c r="G16" s="4">
        <v>3.0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>
        <v>9</v>
      </c>
      <c r="C17" s="4">
        <v>1</v>
      </c>
      <c r="D17" s="4">
        <v>12</v>
      </c>
      <c r="E17" s="4">
        <v>8.0</v>
      </c>
      <c r="F17" s="4">
        <v>1.0</v>
      </c>
      <c r="G17" s="4">
        <v>3.0</v>
      </c>
      <c r="H17" s="4">
        <v>0.0</v>
      </c>
      <c r="I17" s="4">
        <v>0.0</v>
      </c>
      <c r="K17" s="10" t="s">
        <v>36</v>
      </c>
      <c r="L17" s="10"/>
      <c r="M17" s="27" t="s">
        <v>144</v>
      </c>
      <c r="N17" s="25">
        <v>138000</v>
      </c>
      <c r="O17" s="25"/>
      <c r="P17" s="10"/>
      <c r="Q17" s="10"/>
    </row>
    <row r="18" spans="1:19">
      <c r="A18" s="6">
        <v>25</v>
      </c>
      <c r="B18" s="4">
        <v>1</v>
      </c>
      <c r="C18" s="4">
        <v>1</v>
      </c>
      <c r="D18" s="4">
        <v>12</v>
      </c>
      <c r="E18" s="4">
        <v>8.0</v>
      </c>
      <c r="F18" s="4">
        <v>1.0</v>
      </c>
      <c r="G18" s="4">
        <v>3.0</v>
      </c>
      <c r="H18" s="4">
        <v>0.0</v>
      </c>
      <c r="I18" s="4">
        <v>0.0</v>
      </c>
      <c r="K18" s="10" t="s">
        <v>38</v>
      </c>
      <c r="L18" s="10"/>
      <c r="M18" s="27" t="s">
        <v>144</v>
      </c>
      <c r="N18" s="25">
        <v>230000</v>
      </c>
      <c r="O18" s="25"/>
      <c r="P18" s="10"/>
      <c r="Q18" s="10"/>
    </row>
    <row r="19" spans="1:19">
      <c r="A19" s="6">
        <v>26</v>
      </c>
      <c r="B19" s="4">
        <v>2</v>
      </c>
      <c r="C19" s="4">
        <v>1</v>
      </c>
      <c r="D19" s="4">
        <v>12</v>
      </c>
      <c r="E19" s="4">
        <v>8.0</v>
      </c>
      <c r="F19" s="4">
        <v>1.0</v>
      </c>
      <c r="G19" s="4">
        <v>3.0</v>
      </c>
      <c r="H19" s="4">
        <v>0.0</v>
      </c>
      <c r="I19" s="4">
        <v>0.0</v>
      </c>
      <c r="K19" s="10" t="s">
        <v>40</v>
      </c>
      <c r="L19" s="10"/>
      <c r="M19" s="27" t="s">
        <v>80</v>
      </c>
      <c r="N19" s="25">
        <v>0</v>
      </c>
      <c r="O19" s="25"/>
      <c r="P19" s="10"/>
      <c r="Q19" s="10"/>
    </row>
    <row r="20" spans="1:19">
      <c r="A20" s="6">
        <v>27</v>
      </c>
      <c r="B20" s="4">
        <v>3</v>
      </c>
      <c r="C20" s="4">
        <v>1</v>
      </c>
      <c r="D20" s="4">
        <v>12</v>
      </c>
      <c r="E20" s="4">
        <v>8.0</v>
      </c>
      <c r="F20" s="4">
        <v>1.0</v>
      </c>
      <c r="G20" s="4">
        <v>3.0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>
        <v>4</v>
      </c>
      <c r="C21" s="4">
        <v>1</v>
      </c>
      <c r="D21" s="4">
        <v>12</v>
      </c>
      <c r="E21" s="4">
        <v>8.0</v>
      </c>
      <c r="F21" s="4">
        <v>1.0</v>
      </c>
      <c r="G21" s="4">
        <v>3.0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>
        <v>5</v>
      </c>
      <c r="C22" s="4">
        <v>1</v>
      </c>
      <c r="D22" s="4">
        <v>12</v>
      </c>
      <c r="E22" s="4">
        <v>8.0</v>
      </c>
      <c r="F22" s="4">
        <v>1.0</v>
      </c>
      <c r="G22" s="4">
        <v>3.0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368000</v>
      </c>
      <c r="P22" s="10"/>
      <c r="Q22" s="10"/>
    </row>
    <row r="23" spans="1:19">
      <c r="A23" s="6">
        <v>30</v>
      </c>
      <c r="B23" s="4">
        <v>6</v>
      </c>
      <c r="C23" s="4">
        <v>1</v>
      </c>
      <c r="D23" s="4">
        <v>12</v>
      </c>
      <c r="E23" s="4">
        <v>8.0</v>
      </c>
      <c r="F23" s="4">
        <v>1.0</v>
      </c>
      <c r="G23" s="4">
        <v>3.0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>
        <v>7</v>
      </c>
      <c r="C24" s="4">
        <v>1</v>
      </c>
      <c r="D24" s="4">
        <v>12</v>
      </c>
      <c r="E24" s="4">
        <v>8.0</v>
      </c>
      <c r="F24" s="4">
        <v>1.0</v>
      </c>
      <c r="G24" s="4">
        <v>3.0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>
        <v>8</v>
      </c>
      <c r="C25" s="4">
        <v>1</v>
      </c>
      <c r="D25" s="4">
        <v>12</v>
      </c>
      <c r="E25" s="4">
        <v>8.0</v>
      </c>
      <c r="F25" s="4">
        <v>1.0</v>
      </c>
      <c r="G25" s="4">
        <v>3.0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>
        <v>9</v>
      </c>
      <c r="C26" s="4">
        <v>1</v>
      </c>
      <c r="D26" s="4">
        <v>12</v>
      </c>
      <c r="E26" s="4">
        <v>8.0</v>
      </c>
      <c r="F26" s="4">
        <v>1.0</v>
      </c>
      <c r="G26" s="4">
        <v>3.0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>
        <v>1</v>
      </c>
      <c r="C27" s="4">
        <v>1</v>
      </c>
      <c r="D27" s="4">
        <v>12</v>
      </c>
      <c r="E27" s="4">
        <v>8.0</v>
      </c>
      <c r="F27" s="4">
        <v>1.0</v>
      </c>
      <c r="G27" s="4">
        <v>3.0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>
        <v>2</v>
      </c>
      <c r="C28" s="4">
        <v>1</v>
      </c>
      <c r="D28" s="4">
        <v>12</v>
      </c>
      <c r="E28" s="4">
        <v>8.0</v>
      </c>
      <c r="F28" s="4">
        <v>1.0</v>
      </c>
      <c r="G28" s="4">
        <v>3.0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>
        <v>3</v>
      </c>
      <c r="C29" s="4">
        <v>1</v>
      </c>
      <c r="D29" s="4">
        <v>12</v>
      </c>
      <c r="E29" s="4">
        <v>8.0</v>
      </c>
      <c r="F29" s="4">
        <v>1.0</v>
      </c>
      <c r="G29" s="4">
        <v>3.0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7845014.59</v>
      </c>
      <c r="P29" s="10"/>
      <c r="Q29" s="10"/>
    </row>
    <row r="30" spans="1:19">
      <c r="A30" s="6">
        <v>7</v>
      </c>
      <c r="B30" s="4">
        <v>4</v>
      </c>
      <c r="C30" s="4">
        <v>1</v>
      </c>
      <c r="D30" s="4">
        <v>12</v>
      </c>
      <c r="E30" s="4">
        <v>8.0</v>
      </c>
      <c r="F30" s="4">
        <v>1.0</v>
      </c>
      <c r="G30" s="4">
        <v>3.0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134</v>
      </c>
      <c r="N31" s="28" t="s">
        <v>165</v>
      </c>
      <c r="O31" s="25">
        <f>ROUNDDOWN(-(78450.00),0)</f>
        <v>-78450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39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>
        <v>1</v>
      </c>
      <c r="C37" s="4">
        <v>1</v>
      </c>
      <c r="D37" s="4">
        <v>12</v>
      </c>
      <c r="E37" s="4">
        <v>8.0</v>
      </c>
      <c r="F37" s="4">
        <v>1.0</v>
      </c>
      <c r="G37" s="4">
        <v>3.0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7426502.0</v>
      </c>
      <c r="P37" s="10"/>
      <c r="Q37" s="10"/>
    </row>
    <row r="38" spans="1:19">
      <c r="A38" s="6">
        <v>15</v>
      </c>
      <c r="B38" s="4" t="s">
        <v>39</v>
      </c>
      <c r="C38" s="4">
        <v>0</v>
      </c>
      <c r="D38" s="4">
        <v>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23</v>
      </c>
      <c r="D39" s="9">
        <v>276</v>
      </c>
      <c r="E39" s="9">
        <v>184.0</v>
      </c>
      <c r="F39" s="9">
        <v>23.0</v>
      </c>
      <c r="G39" s="9">
        <v>69.0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92.0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-2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7426500.0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177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179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180</v>
      </c>
      <c r="N4" s="10" t="s">
        <v>5</v>
      </c>
      <c r="O4" s="10">
        <v>251100078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110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19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181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 t="s">
        <v>39</v>
      </c>
      <c r="C9" s="4">
        <v>0</v>
      </c>
      <c r="D9" s="4">
        <v>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338708.0</v>
      </c>
      <c r="P9" s="10"/>
      <c r="Q9" s="10"/>
    </row>
    <row r="10" spans="1:19">
      <c r="A10" s="6">
        <v>17</v>
      </c>
      <c r="B10" s="4" t="s">
        <v>39</v>
      </c>
      <c r="C10" s="4">
        <v>0</v>
      </c>
      <c r="D10" s="4">
        <v>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K10" s="10" t="s">
        <v>27</v>
      </c>
      <c r="L10" s="10"/>
      <c r="M10" s="25" t="s">
        <v>98</v>
      </c>
      <c r="N10" s="25">
        <v>58735.51</v>
      </c>
      <c r="O10" s="25"/>
      <c r="P10" s="10"/>
      <c r="Q10" s="10"/>
    </row>
    <row r="11" spans="1:19">
      <c r="A11" s="6">
        <v>18</v>
      </c>
      <c r="B11" s="4" t="s">
        <v>39</v>
      </c>
      <c r="C11" s="4">
        <v>0</v>
      </c>
      <c r="D11" s="4">
        <v>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K11" s="10" t="s">
        <v>29</v>
      </c>
      <c r="L11" s="10"/>
      <c r="M11" s="25" t="s">
        <v>99</v>
      </c>
      <c r="N11" s="25">
        <v>234942.03</v>
      </c>
      <c r="O11" s="25"/>
      <c r="P11" s="10"/>
      <c r="Q11" s="10"/>
    </row>
    <row r="12" spans="1:19">
      <c r="A12" s="6">
        <v>19</v>
      </c>
      <c r="B12" s="4" t="s">
        <v>39</v>
      </c>
      <c r="C12" s="4">
        <v>0</v>
      </c>
      <c r="D12" s="4">
        <v>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 t="s">
        <v>39</v>
      </c>
      <c r="C13" s="4">
        <v>0</v>
      </c>
      <c r="D13" s="4">
        <v>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 t="s">
        <v>39</v>
      </c>
      <c r="C14" s="4">
        <v>0</v>
      </c>
      <c r="D14" s="4">
        <v>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293678.0</v>
      </c>
      <c r="P14" s="10"/>
      <c r="Q14" s="10"/>
    </row>
    <row r="15" spans="1:19">
      <c r="A15" s="6">
        <v>22</v>
      </c>
      <c r="B15" s="4" t="s">
        <v>39</v>
      </c>
      <c r="C15" s="4">
        <v>0</v>
      </c>
      <c r="D15" s="4">
        <v>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 t="s">
        <v>39</v>
      </c>
      <c r="C16" s="4">
        <v>0</v>
      </c>
      <c r="D16" s="4">
        <v>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 t="s">
        <v>39</v>
      </c>
      <c r="C17" s="4">
        <v>0</v>
      </c>
      <c r="D17" s="4">
        <v>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K17" s="10" t="s">
        <v>36</v>
      </c>
      <c r="L17" s="10"/>
      <c r="M17" s="27" t="s">
        <v>100</v>
      </c>
      <c r="N17" s="25">
        <v>12000</v>
      </c>
      <c r="O17" s="25"/>
      <c r="P17" s="10"/>
      <c r="Q17" s="10"/>
    </row>
    <row r="18" spans="1:19">
      <c r="A18" s="6">
        <v>25</v>
      </c>
      <c r="B18" s="4">
        <v>1</v>
      </c>
      <c r="C18" s="4" t="s">
        <v>25</v>
      </c>
      <c r="D18" s="4">
        <v>12</v>
      </c>
      <c r="E18" s="4">
        <v>8.0</v>
      </c>
      <c r="F18" s="4">
        <v>1.0</v>
      </c>
      <c r="G18" s="4">
        <v>3.0</v>
      </c>
      <c r="H18" s="4">
        <v>0.0</v>
      </c>
      <c r="I18" s="4">
        <v>0.0</v>
      </c>
      <c r="K18" s="10" t="s">
        <v>38</v>
      </c>
      <c r="L18" s="10"/>
      <c r="M18" s="27" t="s">
        <v>100</v>
      </c>
      <c r="N18" s="25">
        <v>20000</v>
      </c>
      <c r="O18" s="25"/>
      <c r="P18" s="10"/>
      <c r="Q18" s="10"/>
    </row>
    <row r="19" spans="1:19">
      <c r="A19" s="6">
        <v>26</v>
      </c>
      <c r="B19" s="4" t="s">
        <v>39</v>
      </c>
      <c r="C19" s="4">
        <v>0</v>
      </c>
      <c r="D19" s="4">
        <v>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K19" s="10" t="s">
        <v>40</v>
      </c>
      <c r="L19" s="10"/>
      <c r="M19" s="27" t="s">
        <v>100</v>
      </c>
      <c r="N19" s="25">
        <v>50806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>
        <v>1</v>
      </c>
      <c r="C21" s="4" t="s">
        <v>25</v>
      </c>
      <c r="D21" s="4">
        <v>12</v>
      </c>
      <c r="E21" s="4">
        <v>8.0</v>
      </c>
      <c r="F21" s="4">
        <v>1.0</v>
      </c>
      <c r="G21" s="4">
        <v>3.0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 t="s">
        <v>39</v>
      </c>
      <c r="C22" s="4">
        <v>0</v>
      </c>
      <c r="D22" s="4">
        <v>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82806</v>
      </c>
      <c r="P22" s="10"/>
      <c r="Q22" s="10"/>
    </row>
    <row r="23" spans="1:19">
      <c r="A23" s="6">
        <v>30</v>
      </c>
      <c r="B23" s="4" t="s">
        <v>39</v>
      </c>
      <c r="C23" s="4">
        <v>0</v>
      </c>
      <c r="D23" s="4">
        <v>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 t="s">
        <v>39</v>
      </c>
      <c r="C24" s="4">
        <v>0</v>
      </c>
      <c r="D24" s="4">
        <v>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 t="s">
        <v>39</v>
      </c>
      <c r="C25" s="4">
        <v>0</v>
      </c>
      <c r="D25" s="4">
        <v>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 t="s">
        <v>39</v>
      </c>
      <c r="C26" s="4">
        <v>0</v>
      </c>
      <c r="D26" s="4">
        <v>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 t="s">
        <v>39</v>
      </c>
      <c r="C27" s="4">
        <v>0</v>
      </c>
      <c r="D27" s="4">
        <v>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 t="s">
        <v>39</v>
      </c>
      <c r="C28" s="4">
        <v>0</v>
      </c>
      <c r="D28" s="4">
        <v>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 t="s">
        <v>39</v>
      </c>
      <c r="C29" s="4">
        <v>0</v>
      </c>
      <c r="D29" s="4">
        <v>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919771.33</v>
      </c>
      <c r="P29" s="10"/>
      <c r="Q29" s="10"/>
    </row>
    <row r="30" spans="1:19">
      <c r="A30" s="6">
        <v>7</v>
      </c>
      <c r="B30" s="4" t="s">
        <v>39</v>
      </c>
      <c r="C30" s="4">
        <v>0</v>
      </c>
      <c r="D30" s="4">
        <v>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51</v>
      </c>
      <c r="N31" s="28" t="s">
        <v>52</v>
      </c>
      <c r="O31" s="25">
        <f>ROUNDDOWN(-(0.00),0)</f>
        <v>0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39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 t="s">
        <v>39</v>
      </c>
      <c r="C37" s="4">
        <v>0</v>
      </c>
      <c r="D37" s="4">
        <v>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579708.0</v>
      </c>
      <c r="P37" s="10"/>
      <c r="Q37" s="10"/>
    </row>
    <row r="38" spans="1:19">
      <c r="A38" s="6">
        <v>15</v>
      </c>
      <c r="B38" s="4" t="s">
        <v>39</v>
      </c>
      <c r="C38" s="4">
        <v>0</v>
      </c>
      <c r="D38" s="4">
        <v>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2</v>
      </c>
      <c r="D39" s="9">
        <v>24</v>
      </c>
      <c r="E39" s="9">
        <v>16.0</v>
      </c>
      <c r="F39" s="9">
        <v>2.0</v>
      </c>
      <c r="G39" s="9">
        <v>6.0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8.0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-8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579700.0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180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182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183</v>
      </c>
      <c r="N4" s="10" t="s">
        <v>5</v>
      </c>
      <c r="O4" s="10">
        <v>251100029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113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114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184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>
        <v>1</v>
      </c>
      <c r="C9" s="4" t="s">
        <v>25</v>
      </c>
      <c r="D9" s="4">
        <v>12</v>
      </c>
      <c r="E9" s="4">
        <v>8.0</v>
      </c>
      <c r="F9" s="4">
        <v>1.0</v>
      </c>
      <c r="G9" s="4">
        <v>3.0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3048373.0</v>
      </c>
      <c r="P9" s="10"/>
      <c r="Q9" s="10"/>
    </row>
    <row r="10" spans="1:19">
      <c r="A10" s="6">
        <v>17</v>
      </c>
      <c r="B10" s="4">
        <v>2</v>
      </c>
      <c r="C10" s="4" t="s">
        <v>25</v>
      </c>
      <c r="D10" s="4">
        <v>12</v>
      </c>
      <c r="E10" s="4">
        <v>8.0</v>
      </c>
      <c r="F10" s="4">
        <v>1.0</v>
      </c>
      <c r="G10" s="4">
        <v>3.0</v>
      </c>
      <c r="H10" s="4">
        <v>0.0</v>
      </c>
      <c r="I10" s="4">
        <v>0.0</v>
      </c>
      <c r="K10" s="10" t="s">
        <v>27</v>
      </c>
      <c r="L10" s="10"/>
      <c r="M10" s="25" t="s">
        <v>169</v>
      </c>
      <c r="N10" s="25">
        <v>528619.58</v>
      </c>
      <c r="O10" s="25"/>
      <c r="P10" s="10"/>
      <c r="Q10" s="10"/>
    </row>
    <row r="11" spans="1:19">
      <c r="A11" s="6">
        <v>18</v>
      </c>
      <c r="B11" s="4">
        <v>3</v>
      </c>
      <c r="C11" s="4" t="s">
        <v>25</v>
      </c>
      <c r="D11" s="4">
        <v>12</v>
      </c>
      <c r="E11" s="4">
        <v>8.0</v>
      </c>
      <c r="F11" s="4">
        <v>1.0</v>
      </c>
      <c r="G11" s="4">
        <v>3.0</v>
      </c>
      <c r="H11" s="4">
        <v>0.0</v>
      </c>
      <c r="I11" s="4">
        <v>0.0</v>
      </c>
      <c r="K11" s="10" t="s">
        <v>29</v>
      </c>
      <c r="L11" s="10"/>
      <c r="M11" s="25" t="s">
        <v>170</v>
      </c>
      <c r="N11" s="25">
        <v>2114478.31</v>
      </c>
      <c r="O11" s="25"/>
      <c r="P11" s="10"/>
      <c r="Q11" s="10"/>
    </row>
    <row r="12" spans="1:19">
      <c r="A12" s="6">
        <v>19</v>
      </c>
      <c r="B12" s="4">
        <v>4</v>
      </c>
      <c r="C12" s="4" t="s">
        <v>25</v>
      </c>
      <c r="D12" s="4">
        <v>12</v>
      </c>
      <c r="E12" s="4">
        <v>8.0</v>
      </c>
      <c r="F12" s="4">
        <v>1.0</v>
      </c>
      <c r="G12" s="4">
        <v>3.0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>
        <v>5</v>
      </c>
      <c r="C13" s="4" t="s">
        <v>25</v>
      </c>
      <c r="D13" s="4">
        <v>12</v>
      </c>
      <c r="E13" s="4">
        <v>8.0</v>
      </c>
      <c r="F13" s="4">
        <v>1.0</v>
      </c>
      <c r="G13" s="4">
        <v>3.0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 t="s">
        <v>39</v>
      </c>
      <c r="C14" s="4">
        <v>0</v>
      </c>
      <c r="D14" s="4">
        <v>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2643098.0</v>
      </c>
      <c r="P14" s="10"/>
      <c r="Q14" s="10"/>
    </row>
    <row r="15" spans="1:19">
      <c r="A15" s="6">
        <v>22</v>
      </c>
      <c r="B15" s="4" t="s">
        <v>39</v>
      </c>
      <c r="C15" s="4">
        <v>0</v>
      </c>
      <c r="D15" s="4">
        <v>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 t="s">
        <v>39</v>
      </c>
      <c r="C16" s="4">
        <v>0</v>
      </c>
      <c r="D16" s="4">
        <v>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 t="s">
        <v>39</v>
      </c>
      <c r="C17" s="4">
        <v>0</v>
      </c>
      <c r="D17" s="4">
        <v>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K17" s="10" t="s">
        <v>36</v>
      </c>
      <c r="L17" s="10"/>
      <c r="M17" s="27" t="s">
        <v>171</v>
      </c>
      <c r="N17" s="25">
        <v>108000</v>
      </c>
      <c r="O17" s="25"/>
      <c r="P17" s="10"/>
      <c r="Q17" s="10"/>
    </row>
    <row r="18" spans="1:19">
      <c r="A18" s="6">
        <v>25</v>
      </c>
      <c r="B18" s="4" t="s">
        <v>39</v>
      </c>
      <c r="C18" s="4">
        <v>0</v>
      </c>
      <c r="D18" s="4">
        <v>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K18" s="10" t="s">
        <v>38</v>
      </c>
      <c r="L18" s="10"/>
      <c r="M18" s="27" t="s">
        <v>171</v>
      </c>
      <c r="N18" s="25">
        <v>180000</v>
      </c>
      <c r="O18" s="25"/>
      <c r="P18" s="10"/>
      <c r="Q18" s="10"/>
    </row>
    <row r="19" spans="1:19">
      <c r="A19" s="6">
        <v>26</v>
      </c>
      <c r="B19" s="4" t="s">
        <v>39</v>
      </c>
      <c r="C19" s="4">
        <v>0</v>
      </c>
      <c r="D19" s="4">
        <v>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K19" s="10" t="s">
        <v>40</v>
      </c>
      <c r="L19" s="10"/>
      <c r="M19" s="27" t="s">
        <v>185</v>
      </c>
      <c r="N19" s="25">
        <v>127016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 t="s">
        <v>39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 t="s">
        <v>39</v>
      </c>
      <c r="C22" s="4">
        <v>0</v>
      </c>
      <c r="D22" s="4">
        <v>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415016</v>
      </c>
      <c r="P22" s="10"/>
      <c r="Q22" s="10"/>
    </row>
    <row r="23" spans="1:19">
      <c r="A23" s="6">
        <v>30</v>
      </c>
      <c r="B23" s="4" t="s">
        <v>39</v>
      </c>
      <c r="C23" s="4">
        <v>0</v>
      </c>
      <c r="D23" s="4">
        <v>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>
        <v>1</v>
      </c>
      <c r="C24" s="4">
        <v>1</v>
      </c>
      <c r="D24" s="4">
        <v>12</v>
      </c>
      <c r="E24" s="4">
        <v>8.0</v>
      </c>
      <c r="F24" s="4">
        <v>1.0</v>
      </c>
      <c r="G24" s="4">
        <v>3.0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>
        <v>2</v>
      </c>
      <c r="C25" s="4">
        <v>1</v>
      </c>
      <c r="D25" s="4">
        <v>12</v>
      </c>
      <c r="E25" s="4">
        <v>8.0</v>
      </c>
      <c r="F25" s="4">
        <v>1.0</v>
      </c>
      <c r="G25" s="4">
        <v>3.0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 t="s">
        <v>39</v>
      </c>
      <c r="C26" s="4">
        <v>0</v>
      </c>
      <c r="D26" s="4">
        <v>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>
        <v>1</v>
      </c>
      <c r="C27" s="4">
        <v>1</v>
      </c>
      <c r="D27" s="4">
        <v>12</v>
      </c>
      <c r="E27" s="4">
        <v>8.0</v>
      </c>
      <c r="F27" s="4">
        <v>1.0</v>
      </c>
      <c r="G27" s="4">
        <v>3.0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>
        <v>2</v>
      </c>
      <c r="C28" s="4">
        <v>1</v>
      </c>
      <c r="D28" s="4">
        <v>12</v>
      </c>
      <c r="E28" s="4">
        <v>8.0</v>
      </c>
      <c r="F28" s="4">
        <v>1.0</v>
      </c>
      <c r="G28" s="4">
        <v>3.0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 t="s">
        <v>39</v>
      </c>
      <c r="C29" s="4">
        <v>0</v>
      </c>
      <c r="D29" s="4">
        <v>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6311066.48</v>
      </c>
      <c r="P29" s="10"/>
      <c r="Q29" s="10"/>
    </row>
    <row r="30" spans="1:19">
      <c r="A30" s="6">
        <v>7</v>
      </c>
      <c r="B30" s="4">
        <v>1</v>
      </c>
      <c r="C30" s="4">
        <v>1</v>
      </c>
      <c r="D30" s="4">
        <v>12</v>
      </c>
      <c r="E30" s="4">
        <v>8.0</v>
      </c>
      <c r="F30" s="4">
        <v>1.0</v>
      </c>
      <c r="G30" s="4">
        <v>3.0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>
        <v>2</v>
      </c>
      <c r="C31" s="4">
        <v>1</v>
      </c>
      <c r="D31" s="4">
        <v>12</v>
      </c>
      <c r="E31" s="4">
        <v>8.0</v>
      </c>
      <c r="F31" s="4">
        <v>1.0</v>
      </c>
      <c r="G31" s="4">
        <v>3.0</v>
      </c>
      <c r="H31" s="4">
        <v>0.0</v>
      </c>
      <c r="I31" s="4">
        <v>0.0</v>
      </c>
      <c r="K31" s="10" t="s">
        <v>50</v>
      </c>
      <c r="L31" s="10"/>
      <c r="M31" s="28" t="s">
        <v>75</v>
      </c>
      <c r="N31" s="28" t="s">
        <v>186</v>
      </c>
      <c r="O31" s="25">
        <f>ROUNDDOWN(-(15777.00),0)</f>
        <v>-15777</v>
      </c>
      <c r="P31" s="10"/>
      <c r="Q31" s="10"/>
    </row>
    <row r="32" spans="1:19">
      <c r="A32" s="6">
        <v>9</v>
      </c>
      <c r="B32" s="4">
        <v>3</v>
      </c>
      <c r="C32" s="4">
        <v>1</v>
      </c>
      <c r="D32" s="4">
        <v>12</v>
      </c>
      <c r="E32" s="4">
        <v>8.0</v>
      </c>
      <c r="F32" s="4">
        <v>1.0</v>
      </c>
      <c r="G32" s="4">
        <v>3.0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>
        <v>4</v>
      </c>
      <c r="C33" s="4">
        <v>1</v>
      </c>
      <c r="D33" s="4">
        <v>12</v>
      </c>
      <c r="E33" s="4">
        <v>8.0</v>
      </c>
      <c r="F33" s="4">
        <v>1.0</v>
      </c>
      <c r="G33" s="4">
        <v>3.0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>
        <v>5</v>
      </c>
      <c r="C34" s="4">
        <v>1</v>
      </c>
      <c r="D34" s="4">
        <v>12</v>
      </c>
      <c r="E34" s="4">
        <v>8.0</v>
      </c>
      <c r="F34" s="4">
        <v>1.0</v>
      </c>
      <c r="G34" s="4">
        <v>3.0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>
        <v>6</v>
      </c>
      <c r="C35" s="4">
        <v>1</v>
      </c>
      <c r="D35" s="4">
        <v>12</v>
      </c>
      <c r="E35" s="4">
        <v>8.0</v>
      </c>
      <c r="F35" s="4">
        <v>1.0</v>
      </c>
      <c r="G35" s="4">
        <v>3.0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>
        <v>7</v>
      </c>
      <c r="C36" s="4">
        <v>1</v>
      </c>
      <c r="D36" s="4">
        <v>12</v>
      </c>
      <c r="E36" s="4">
        <v>8.0</v>
      </c>
      <c r="F36" s="4">
        <v>1.0</v>
      </c>
      <c r="G36" s="4">
        <v>3.0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>
        <v>8</v>
      </c>
      <c r="C37" s="4">
        <v>1</v>
      </c>
      <c r="D37" s="4">
        <v>12</v>
      </c>
      <c r="E37" s="4">
        <v>8.0</v>
      </c>
      <c r="F37" s="4">
        <v>1.0</v>
      </c>
      <c r="G37" s="4">
        <v>3.0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5955227.0</v>
      </c>
      <c r="P37" s="10"/>
      <c r="Q37" s="10"/>
    </row>
    <row r="38" spans="1:19">
      <c r="A38" s="6">
        <v>15</v>
      </c>
      <c r="B38" s="4">
        <v>9</v>
      </c>
      <c r="C38" s="4">
        <v>1</v>
      </c>
      <c r="D38" s="4">
        <v>12</v>
      </c>
      <c r="E38" s="4">
        <v>8.0</v>
      </c>
      <c r="F38" s="4">
        <v>1.0</v>
      </c>
      <c r="G38" s="4">
        <v>3.0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18</v>
      </c>
      <c r="D39" s="9">
        <v>216</v>
      </c>
      <c r="E39" s="9">
        <v>144.0</v>
      </c>
      <c r="F39" s="9">
        <v>18.0</v>
      </c>
      <c r="G39" s="9">
        <v>54.0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72.0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-27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5955200.0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183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187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188</v>
      </c>
      <c r="N4" s="10" t="s">
        <v>5</v>
      </c>
      <c r="O4" s="10">
        <v>251100030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189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78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190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>
        <v>1</v>
      </c>
      <c r="C9" s="4" t="s">
        <v>25</v>
      </c>
      <c r="D9" s="4">
        <v>12</v>
      </c>
      <c r="E9" s="4">
        <v>8.0</v>
      </c>
      <c r="F9" s="4">
        <v>1.0</v>
      </c>
      <c r="G9" s="4">
        <v>3.0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3048373.0</v>
      </c>
      <c r="P9" s="10"/>
      <c r="Q9" s="10"/>
    </row>
    <row r="10" spans="1:19">
      <c r="A10" s="6">
        <v>17</v>
      </c>
      <c r="B10" s="4">
        <v>2</v>
      </c>
      <c r="C10" s="4" t="s">
        <v>25</v>
      </c>
      <c r="D10" s="4">
        <v>12</v>
      </c>
      <c r="E10" s="4">
        <v>8.0</v>
      </c>
      <c r="F10" s="4">
        <v>1.0</v>
      </c>
      <c r="G10" s="4">
        <v>3.0</v>
      </c>
      <c r="H10" s="4">
        <v>0.0</v>
      </c>
      <c r="I10" s="4">
        <v>0.0</v>
      </c>
      <c r="K10" s="10" t="s">
        <v>27</v>
      </c>
      <c r="L10" s="10"/>
      <c r="M10" s="25" t="s">
        <v>169</v>
      </c>
      <c r="N10" s="25">
        <v>528619.58</v>
      </c>
      <c r="O10" s="25"/>
      <c r="P10" s="10"/>
      <c r="Q10" s="10"/>
    </row>
    <row r="11" spans="1:19">
      <c r="A11" s="6">
        <v>18</v>
      </c>
      <c r="B11" s="4">
        <v>3</v>
      </c>
      <c r="C11" s="4" t="s">
        <v>25</v>
      </c>
      <c r="D11" s="4">
        <v>12</v>
      </c>
      <c r="E11" s="4">
        <v>8.0</v>
      </c>
      <c r="F11" s="4">
        <v>1.0</v>
      </c>
      <c r="G11" s="4">
        <v>3.0</v>
      </c>
      <c r="H11" s="4">
        <v>0.0</v>
      </c>
      <c r="I11" s="4">
        <v>0.0</v>
      </c>
      <c r="K11" s="10" t="s">
        <v>29</v>
      </c>
      <c r="L11" s="10"/>
      <c r="M11" s="25" t="s">
        <v>170</v>
      </c>
      <c r="N11" s="25">
        <v>2114478.31</v>
      </c>
      <c r="O11" s="25"/>
      <c r="P11" s="10"/>
      <c r="Q11" s="10"/>
    </row>
    <row r="12" spans="1:19">
      <c r="A12" s="6">
        <v>19</v>
      </c>
      <c r="B12" s="4">
        <v>4</v>
      </c>
      <c r="C12" s="4" t="s">
        <v>25</v>
      </c>
      <c r="D12" s="4">
        <v>12</v>
      </c>
      <c r="E12" s="4">
        <v>8.0</v>
      </c>
      <c r="F12" s="4">
        <v>1.0</v>
      </c>
      <c r="G12" s="4">
        <v>3.0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 t="s">
        <v>39</v>
      </c>
      <c r="C13" s="4">
        <v>0</v>
      </c>
      <c r="D13" s="4">
        <v>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 t="s">
        <v>39</v>
      </c>
      <c r="C14" s="4">
        <v>0</v>
      </c>
      <c r="D14" s="4">
        <v>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2643098.0</v>
      </c>
      <c r="P14" s="10"/>
      <c r="Q14" s="10"/>
    </row>
    <row r="15" spans="1:19">
      <c r="A15" s="6">
        <v>22</v>
      </c>
      <c r="B15" s="4" t="s">
        <v>39</v>
      </c>
      <c r="C15" s="4">
        <v>0</v>
      </c>
      <c r="D15" s="4">
        <v>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 t="s">
        <v>39</v>
      </c>
      <c r="C16" s="4">
        <v>0</v>
      </c>
      <c r="D16" s="4">
        <v>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 t="s">
        <v>39</v>
      </c>
      <c r="C17" s="4">
        <v>0</v>
      </c>
      <c r="D17" s="4">
        <v>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K17" s="10" t="s">
        <v>36</v>
      </c>
      <c r="L17" s="10"/>
      <c r="M17" s="27" t="s">
        <v>171</v>
      </c>
      <c r="N17" s="25">
        <v>108000</v>
      </c>
      <c r="O17" s="25"/>
      <c r="P17" s="10"/>
      <c r="Q17" s="10"/>
    </row>
    <row r="18" spans="1:19">
      <c r="A18" s="6">
        <v>25</v>
      </c>
      <c r="B18" s="4" t="s">
        <v>39</v>
      </c>
      <c r="C18" s="4">
        <v>0</v>
      </c>
      <c r="D18" s="4">
        <v>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K18" s="10" t="s">
        <v>38</v>
      </c>
      <c r="L18" s="10"/>
      <c r="M18" s="27" t="s">
        <v>171</v>
      </c>
      <c r="N18" s="25">
        <v>180000</v>
      </c>
      <c r="O18" s="25"/>
      <c r="P18" s="10"/>
      <c r="Q18" s="10"/>
    </row>
    <row r="19" spans="1:19">
      <c r="A19" s="6">
        <v>26</v>
      </c>
      <c r="B19" s="4">
        <v>1</v>
      </c>
      <c r="C19" s="4" t="s">
        <v>25</v>
      </c>
      <c r="D19" s="4">
        <v>12</v>
      </c>
      <c r="E19" s="4">
        <v>8.0</v>
      </c>
      <c r="F19" s="4">
        <v>1.0</v>
      </c>
      <c r="G19" s="4">
        <v>3.0</v>
      </c>
      <c r="H19" s="4">
        <v>0.0</v>
      </c>
      <c r="I19" s="4">
        <v>0.0</v>
      </c>
      <c r="K19" s="10" t="s">
        <v>40</v>
      </c>
      <c r="L19" s="10"/>
      <c r="M19" s="27" t="s">
        <v>125</v>
      </c>
      <c r="N19" s="25">
        <v>406450</v>
      </c>
      <c r="O19" s="25"/>
      <c r="P19" s="10"/>
      <c r="Q19" s="10"/>
    </row>
    <row r="20" spans="1:19">
      <c r="A20" s="6">
        <v>27</v>
      </c>
      <c r="B20" s="4">
        <v>2</v>
      </c>
      <c r="C20" s="4" t="s">
        <v>25</v>
      </c>
      <c r="D20" s="4">
        <v>12</v>
      </c>
      <c r="E20" s="4">
        <v>8.0</v>
      </c>
      <c r="F20" s="4">
        <v>1.0</v>
      </c>
      <c r="G20" s="4">
        <v>3.0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>
        <v>3</v>
      </c>
      <c r="C21" s="4" t="s">
        <v>25</v>
      </c>
      <c r="D21" s="4">
        <v>12</v>
      </c>
      <c r="E21" s="4">
        <v>8.0</v>
      </c>
      <c r="F21" s="4">
        <v>1.0</v>
      </c>
      <c r="G21" s="4">
        <v>3.0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>
        <v>4</v>
      </c>
      <c r="C22" s="4" t="s">
        <v>25</v>
      </c>
      <c r="D22" s="4">
        <v>12</v>
      </c>
      <c r="E22" s="4">
        <v>8.0</v>
      </c>
      <c r="F22" s="4">
        <v>1.0</v>
      </c>
      <c r="G22" s="4">
        <v>3.0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694450</v>
      </c>
      <c r="P22" s="10"/>
      <c r="Q22" s="10"/>
    </row>
    <row r="23" spans="1:19">
      <c r="A23" s="6">
        <v>30</v>
      </c>
      <c r="B23" s="4">
        <v>5</v>
      </c>
      <c r="C23" s="4" t="s">
        <v>25</v>
      </c>
      <c r="D23" s="4">
        <v>12</v>
      </c>
      <c r="E23" s="4">
        <v>8.0</v>
      </c>
      <c r="F23" s="4">
        <v>1.0</v>
      </c>
      <c r="G23" s="4">
        <v>3.0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>
        <v>6</v>
      </c>
      <c r="C24" s="4" t="s">
        <v>25</v>
      </c>
      <c r="D24" s="4">
        <v>12</v>
      </c>
      <c r="E24" s="4">
        <v>8.0</v>
      </c>
      <c r="F24" s="4">
        <v>1.0</v>
      </c>
      <c r="G24" s="4">
        <v>3.0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>
        <v>7</v>
      </c>
      <c r="C25" s="4" t="s">
        <v>25</v>
      </c>
      <c r="D25" s="4">
        <v>12</v>
      </c>
      <c r="E25" s="4">
        <v>8.0</v>
      </c>
      <c r="F25" s="4">
        <v>1.0</v>
      </c>
      <c r="G25" s="4">
        <v>3.0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>
        <v>8</v>
      </c>
      <c r="C26" s="4" t="s">
        <v>25</v>
      </c>
      <c r="D26" s="4">
        <v>12</v>
      </c>
      <c r="E26" s="4">
        <v>8.0</v>
      </c>
      <c r="F26" s="4">
        <v>1.0</v>
      </c>
      <c r="G26" s="4">
        <v>3.0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>
        <v>9</v>
      </c>
      <c r="C27" s="4" t="s">
        <v>25</v>
      </c>
      <c r="D27" s="4">
        <v>12</v>
      </c>
      <c r="E27" s="4">
        <v>8.0</v>
      </c>
      <c r="F27" s="4">
        <v>1.0</v>
      </c>
      <c r="G27" s="4">
        <v>3.0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>
        <v>1</v>
      </c>
      <c r="C28" s="4" t="s">
        <v>25</v>
      </c>
      <c r="D28" s="4">
        <v>12</v>
      </c>
      <c r="E28" s="4">
        <v>8.0</v>
      </c>
      <c r="F28" s="4">
        <v>1.0</v>
      </c>
      <c r="G28" s="4">
        <v>3.0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>
        <v>2</v>
      </c>
      <c r="C29" s="4" t="s">
        <v>25</v>
      </c>
      <c r="D29" s="4">
        <v>12</v>
      </c>
      <c r="E29" s="4">
        <v>8.0</v>
      </c>
      <c r="F29" s="4">
        <v>1.0</v>
      </c>
      <c r="G29" s="4">
        <v>3.0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6590500.48</v>
      </c>
      <c r="P29" s="10"/>
      <c r="Q29" s="10"/>
    </row>
    <row r="30" spans="1:19">
      <c r="A30" s="6">
        <v>7</v>
      </c>
      <c r="B30" s="4">
        <v>3</v>
      </c>
      <c r="C30" s="4" t="s">
        <v>25</v>
      </c>
      <c r="D30" s="4">
        <v>12</v>
      </c>
      <c r="E30" s="4">
        <v>8.0</v>
      </c>
      <c r="F30" s="4">
        <v>1.0</v>
      </c>
      <c r="G30" s="4">
        <v>3.0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51</v>
      </c>
      <c r="N31" s="28" t="s">
        <v>165</v>
      </c>
      <c r="O31" s="25">
        <f>ROUNDDOWN(-(65905.00),0)</f>
        <v>-65905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39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>
        <v>1</v>
      </c>
      <c r="C37" s="4">
        <v>1</v>
      </c>
      <c r="D37" s="4">
        <v>12</v>
      </c>
      <c r="E37" s="4">
        <v>8.0</v>
      </c>
      <c r="F37" s="4">
        <v>1.0</v>
      </c>
      <c r="G37" s="4">
        <v>3.0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6184533.0</v>
      </c>
      <c r="P37" s="10"/>
      <c r="Q37" s="10"/>
    </row>
    <row r="38" spans="1:19">
      <c r="A38" s="6">
        <v>15</v>
      </c>
      <c r="B38" s="4">
        <v>2</v>
      </c>
      <c r="C38" s="4">
        <v>1</v>
      </c>
      <c r="D38" s="4">
        <v>12</v>
      </c>
      <c r="E38" s="4">
        <v>8.0</v>
      </c>
      <c r="F38" s="4">
        <v>1.0</v>
      </c>
      <c r="G38" s="4">
        <v>3.0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18</v>
      </c>
      <c r="D39" s="9">
        <v>216</v>
      </c>
      <c r="E39" s="9">
        <v>144.0</v>
      </c>
      <c r="F39" s="9">
        <v>18.0</v>
      </c>
      <c r="G39" s="9">
        <v>54.0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72.0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-33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6184500.0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188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191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192</v>
      </c>
      <c r="N4" s="10" t="s">
        <v>5</v>
      </c>
      <c r="O4" s="10">
        <v>251100057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83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19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193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>
        <v>1</v>
      </c>
      <c r="C9" s="4" t="s">
        <v>25</v>
      </c>
      <c r="D9" s="4">
        <v>12</v>
      </c>
      <c r="E9" s="4">
        <v>8.0</v>
      </c>
      <c r="F9" s="4">
        <v>1.0</v>
      </c>
      <c r="G9" s="4">
        <v>3.0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1016124.0</v>
      </c>
      <c r="P9" s="10"/>
      <c r="Q9" s="10"/>
    </row>
    <row r="10" spans="1:19">
      <c r="A10" s="6">
        <v>17</v>
      </c>
      <c r="B10" s="4">
        <v>2</v>
      </c>
      <c r="C10" s="4" t="s">
        <v>25</v>
      </c>
      <c r="D10" s="4">
        <v>12</v>
      </c>
      <c r="E10" s="4">
        <v>8.0</v>
      </c>
      <c r="F10" s="4">
        <v>1.0</v>
      </c>
      <c r="G10" s="4">
        <v>3.0</v>
      </c>
      <c r="H10" s="4">
        <v>0.0</v>
      </c>
      <c r="I10" s="4">
        <v>0.0</v>
      </c>
      <c r="K10" s="10" t="s">
        <v>27</v>
      </c>
      <c r="L10" s="10"/>
      <c r="M10" s="25" t="s">
        <v>194</v>
      </c>
      <c r="N10" s="25">
        <v>176206.53</v>
      </c>
      <c r="O10" s="25"/>
      <c r="P10" s="10"/>
      <c r="Q10" s="10"/>
    </row>
    <row r="11" spans="1:19">
      <c r="A11" s="6">
        <v>18</v>
      </c>
      <c r="B11" s="4">
        <v>3</v>
      </c>
      <c r="C11" s="4" t="s">
        <v>25</v>
      </c>
      <c r="D11" s="4">
        <v>12</v>
      </c>
      <c r="E11" s="4">
        <v>8.0</v>
      </c>
      <c r="F11" s="4">
        <v>1.0</v>
      </c>
      <c r="G11" s="4">
        <v>3.0</v>
      </c>
      <c r="H11" s="4">
        <v>0.0</v>
      </c>
      <c r="I11" s="4">
        <v>0.0</v>
      </c>
      <c r="K11" s="10" t="s">
        <v>29</v>
      </c>
      <c r="L11" s="10"/>
      <c r="M11" s="25" t="s">
        <v>195</v>
      </c>
      <c r="N11" s="25">
        <v>704826.1</v>
      </c>
      <c r="O11" s="25"/>
      <c r="P11" s="10"/>
      <c r="Q11" s="10"/>
    </row>
    <row r="12" spans="1:19">
      <c r="A12" s="6">
        <v>19</v>
      </c>
      <c r="B12" s="4">
        <v>4</v>
      </c>
      <c r="C12" s="4" t="s">
        <v>25</v>
      </c>
      <c r="D12" s="4">
        <v>12</v>
      </c>
      <c r="E12" s="4">
        <v>8.0</v>
      </c>
      <c r="F12" s="4">
        <v>1.0</v>
      </c>
      <c r="G12" s="4">
        <v>3.0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>
        <v>5</v>
      </c>
      <c r="C13" s="4" t="s">
        <v>25</v>
      </c>
      <c r="D13" s="4">
        <v>12</v>
      </c>
      <c r="E13" s="4">
        <v>8.0</v>
      </c>
      <c r="F13" s="4">
        <v>1.0</v>
      </c>
      <c r="G13" s="4">
        <v>3.0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>
        <v>6</v>
      </c>
      <c r="C14" s="4" t="s">
        <v>25</v>
      </c>
      <c r="D14" s="4">
        <v>12</v>
      </c>
      <c r="E14" s="4">
        <v>8.0</v>
      </c>
      <c r="F14" s="4">
        <v>1.0</v>
      </c>
      <c r="G14" s="4">
        <v>3.0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881033.0</v>
      </c>
      <c r="P14" s="10"/>
      <c r="Q14" s="10"/>
    </row>
    <row r="15" spans="1:19">
      <c r="A15" s="6">
        <v>22</v>
      </c>
      <c r="B15" s="4" t="s">
        <v>39</v>
      </c>
      <c r="C15" s="4">
        <v>0</v>
      </c>
      <c r="D15" s="4">
        <v>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 t="s">
        <v>39</v>
      </c>
      <c r="C16" s="4">
        <v>0</v>
      </c>
      <c r="D16" s="4">
        <v>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 t="s">
        <v>39</v>
      </c>
      <c r="C17" s="4">
        <v>0</v>
      </c>
      <c r="D17" s="4">
        <v>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K17" s="10" t="s">
        <v>36</v>
      </c>
      <c r="L17" s="10"/>
      <c r="M17" s="27" t="s">
        <v>196</v>
      </c>
      <c r="N17" s="25">
        <v>36000</v>
      </c>
      <c r="O17" s="25"/>
      <c r="P17" s="10"/>
      <c r="Q17" s="10"/>
    </row>
    <row r="18" spans="1:19">
      <c r="A18" s="6">
        <v>25</v>
      </c>
      <c r="B18" s="4" t="s">
        <v>39</v>
      </c>
      <c r="C18" s="4">
        <v>0</v>
      </c>
      <c r="D18" s="4">
        <v>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K18" s="10" t="s">
        <v>38</v>
      </c>
      <c r="L18" s="10"/>
      <c r="M18" s="27" t="s">
        <v>196</v>
      </c>
      <c r="N18" s="25">
        <v>60000</v>
      </c>
      <c r="O18" s="25"/>
      <c r="P18" s="10"/>
      <c r="Q18" s="10"/>
    </row>
    <row r="19" spans="1:19">
      <c r="A19" s="6">
        <v>26</v>
      </c>
      <c r="B19" s="4" t="s">
        <v>39</v>
      </c>
      <c r="C19" s="4">
        <v>0</v>
      </c>
      <c r="D19" s="4">
        <v>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K19" s="10" t="s">
        <v>40</v>
      </c>
      <c r="L19" s="10"/>
      <c r="M19" s="27" t="s">
        <v>196</v>
      </c>
      <c r="N19" s="25">
        <v>152419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 t="s">
        <v>39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 t="s">
        <v>39</v>
      </c>
      <c r="C22" s="4">
        <v>0</v>
      </c>
      <c r="D22" s="4">
        <v>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248419</v>
      </c>
      <c r="P22" s="10"/>
      <c r="Q22" s="10"/>
    </row>
    <row r="23" spans="1:19">
      <c r="A23" s="6">
        <v>30</v>
      </c>
      <c r="B23" s="4" t="s">
        <v>39</v>
      </c>
      <c r="C23" s="4">
        <v>0</v>
      </c>
      <c r="D23" s="4">
        <v>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 t="s">
        <v>39</v>
      </c>
      <c r="C24" s="4">
        <v>0</v>
      </c>
      <c r="D24" s="4">
        <v>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 t="s">
        <v>39</v>
      </c>
      <c r="C25" s="4">
        <v>0</v>
      </c>
      <c r="D25" s="4">
        <v>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 t="s">
        <v>39</v>
      </c>
      <c r="C26" s="4">
        <v>0</v>
      </c>
      <c r="D26" s="4">
        <v>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 t="s">
        <v>39</v>
      </c>
      <c r="C27" s="4">
        <v>0</v>
      </c>
      <c r="D27" s="4">
        <v>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 t="s">
        <v>39</v>
      </c>
      <c r="C28" s="4">
        <v>0</v>
      </c>
      <c r="D28" s="4">
        <v>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 t="s">
        <v>39</v>
      </c>
      <c r="C29" s="4">
        <v>0</v>
      </c>
      <c r="D29" s="4">
        <v>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2350155.62</v>
      </c>
      <c r="P29" s="10"/>
      <c r="Q29" s="10"/>
    </row>
    <row r="30" spans="1:19">
      <c r="A30" s="6">
        <v>7</v>
      </c>
      <c r="B30" s="4" t="s">
        <v>39</v>
      </c>
      <c r="C30" s="4">
        <v>0</v>
      </c>
      <c r="D30" s="4">
        <v>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51</v>
      </c>
      <c r="N31" s="28" t="s">
        <v>52</v>
      </c>
      <c r="O31" s="25">
        <f>ROUNDDOWN(-(0.00),0)</f>
        <v>0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39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 t="s">
        <v>39</v>
      </c>
      <c r="C37" s="4">
        <v>0</v>
      </c>
      <c r="D37" s="4">
        <v>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2010093.0</v>
      </c>
      <c r="P37" s="10"/>
      <c r="Q37" s="10"/>
    </row>
    <row r="38" spans="1:19">
      <c r="A38" s="6">
        <v>15</v>
      </c>
      <c r="B38" s="4" t="s">
        <v>39</v>
      </c>
      <c r="C38" s="4">
        <v>0</v>
      </c>
      <c r="D38" s="4">
        <v>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6</v>
      </c>
      <c r="D39" s="9">
        <v>72</v>
      </c>
      <c r="E39" s="9">
        <v>48.0</v>
      </c>
      <c r="F39" s="9">
        <v>6.0</v>
      </c>
      <c r="G39" s="9">
        <v>18.0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24.0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7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2010100.0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192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197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198</v>
      </c>
      <c r="N4" s="10" t="s">
        <v>5</v>
      </c>
      <c r="O4" s="10">
        <v>251100040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68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128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84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>
        <v>1</v>
      </c>
      <c r="C9" s="4" t="s">
        <v>25</v>
      </c>
      <c r="D9" s="4">
        <v>12</v>
      </c>
      <c r="E9" s="4">
        <v>8.0</v>
      </c>
      <c r="F9" s="4">
        <v>1.0</v>
      </c>
      <c r="G9" s="4">
        <v>3.0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1354832.0</v>
      </c>
      <c r="P9" s="10"/>
      <c r="Q9" s="10"/>
    </row>
    <row r="10" spans="1:19">
      <c r="A10" s="6">
        <v>17</v>
      </c>
      <c r="B10" s="4">
        <v>2</v>
      </c>
      <c r="C10" s="4" t="s">
        <v>25</v>
      </c>
      <c r="D10" s="4">
        <v>12</v>
      </c>
      <c r="E10" s="4">
        <v>8.0</v>
      </c>
      <c r="F10" s="4">
        <v>1.0</v>
      </c>
      <c r="G10" s="4">
        <v>3.0</v>
      </c>
      <c r="H10" s="4">
        <v>0.0</v>
      </c>
      <c r="I10" s="4">
        <v>0.0</v>
      </c>
      <c r="K10" s="10" t="s">
        <v>27</v>
      </c>
      <c r="L10" s="10"/>
      <c r="M10" s="25" t="s">
        <v>85</v>
      </c>
      <c r="N10" s="25">
        <v>234942.03</v>
      </c>
      <c r="O10" s="25"/>
      <c r="P10" s="10"/>
      <c r="Q10" s="10"/>
    </row>
    <row r="11" spans="1:19">
      <c r="A11" s="6">
        <v>18</v>
      </c>
      <c r="B11" s="4">
        <v>3</v>
      </c>
      <c r="C11" s="4" t="s">
        <v>25</v>
      </c>
      <c r="D11" s="4">
        <v>12</v>
      </c>
      <c r="E11" s="4">
        <v>8.0</v>
      </c>
      <c r="F11" s="4">
        <v>1.0</v>
      </c>
      <c r="G11" s="4">
        <v>3.0</v>
      </c>
      <c r="H11" s="4">
        <v>0.0</v>
      </c>
      <c r="I11" s="4">
        <v>0.0</v>
      </c>
      <c r="K11" s="10" t="s">
        <v>29</v>
      </c>
      <c r="L11" s="10"/>
      <c r="M11" s="25" t="s">
        <v>86</v>
      </c>
      <c r="N11" s="25">
        <v>939768.14</v>
      </c>
      <c r="O11" s="25"/>
      <c r="P11" s="10"/>
      <c r="Q11" s="10"/>
    </row>
    <row r="12" spans="1:19">
      <c r="A12" s="6">
        <v>19</v>
      </c>
      <c r="B12" s="4">
        <v>4</v>
      </c>
      <c r="C12" s="4" t="s">
        <v>25</v>
      </c>
      <c r="D12" s="4">
        <v>12</v>
      </c>
      <c r="E12" s="4">
        <v>8.0</v>
      </c>
      <c r="F12" s="4">
        <v>1.0</v>
      </c>
      <c r="G12" s="4">
        <v>3.0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>
        <v>5</v>
      </c>
      <c r="C13" s="4" t="s">
        <v>25</v>
      </c>
      <c r="D13" s="4">
        <v>12</v>
      </c>
      <c r="E13" s="4">
        <v>8.0</v>
      </c>
      <c r="F13" s="4">
        <v>1.0</v>
      </c>
      <c r="G13" s="4">
        <v>3.0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>
        <v>6</v>
      </c>
      <c r="C14" s="4" t="s">
        <v>25</v>
      </c>
      <c r="D14" s="4">
        <v>12</v>
      </c>
      <c r="E14" s="4">
        <v>8.0</v>
      </c>
      <c r="F14" s="4">
        <v>1.0</v>
      </c>
      <c r="G14" s="4">
        <v>3.0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1174710.0</v>
      </c>
      <c r="P14" s="10"/>
      <c r="Q14" s="10"/>
    </row>
    <row r="15" spans="1:19">
      <c r="A15" s="6">
        <v>22</v>
      </c>
      <c r="B15" s="4">
        <v>7</v>
      </c>
      <c r="C15" s="4" t="s">
        <v>25</v>
      </c>
      <c r="D15" s="4">
        <v>12</v>
      </c>
      <c r="E15" s="4">
        <v>8.0</v>
      </c>
      <c r="F15" s="4">
        <v>1.0</v>
      </c>
      <c r="G15" s="4">
        <v>3.0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>
        <v>8</v>
      </c>
      <c r="C16" s="4" t="s">
        <v>25</v>
      </c>
      <c r="D16" s="4">
        <v>12</v>
      </c>
      <c r="E16" s="4">
        <v>8.0</v>
      </c>
      <c r="F16" s="4">
        <v>1.0</v>
      </c>
      <c r="G16" s="4">
        <v>3.0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 t="s">
        <v>39</v>
      </c>
      <c r="C17" s="4">
        <v>0</v>
      </c>
      <c r="D17" s="4">
        <v>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K17" s="10" t="s">
        <v>36</v>
      </c>
      <c r="L17" s="10"/>
      <c r="M17" s="27" t="s">
        <v>87</v>
      </c>
      <c r="N17" s="25">
        <v>48000</v>
      </c>
      <c r="O17" s="25"/>
      <c r="P17" s="10"/>
      <c r="Q17" s="10"/>
    </row>
    <row r="18" spans="1:19">
      <c r="A18" s="6">
        <v>25</v>
      </c>
      <c r="B18" s="4" t="s">
        <v>39</v>
      </c>
      <c r="C18" s="4">
        <v>0</v>
      </c>
      <c r="D18" s="4">
        <v>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K18" s="10" t="s">
        <v>38</v>
      </c>
      <c r="L18" s="10"/>
      <c r="M18" s="27" t="s">
        <v>87</v>
      </c>
      <c r="N18" s="25">
        <v>80000</v>
      </c>
      <c r="O18" s="25"/>
      <c r="P18" s="10"/>
      <c r="Q18" s="10"/>
    </row>
    <row r="19" spans="1:19">
      <c r="A19" s="6">
        <v>26</v>
      </c>
      <c r="B19" s="4" t="s">
        <v>39</v>
      </c>
      <c r="C19" s="4">
        <v>0</v>
      </c>
      <c r="D19" s="4">
        <v>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K19" s="10" t="s">
        <v>40</v>
      </c>
      <c r="L19" s="10"/>
      <c r="M19" s="27" t="s">
        <v>87</v>
      </c>
      <c r="N19" s="25">
        <v>203225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 t="s">
        <v>39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 t="s">
        <v>39</v>
      </c>
      <c r="C22" s="4">
        <v>0</v>
      </c>
      <c r="D22" s="4">
        <v>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331225</v>
      </c>
      <c r="P22" s="10"/>
      <c r="Q22" s="10"/>
    </row>
    <row r="23" spans="1:19">
      <c r="A23" s="6">
        <v>30</v>
      </c>
      <c r="B23" s="4" t="s">
        <v>39</v>
      </c>
      <c r="C23" s="4">
        <v>0</v>
      </c>
      <c r="D23" s="4">
        <v>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 t="s">
        <v>39</v>
      </c>
      <c r="C24" s="4">
        <v>0</v>
      </c>
      <c r="D24" s="4">
        <v>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 t="s">
        <v>39</v>
      </c>
      <c r="C25" s="4">
        <v>0</v>
      </c>
      <c r="D25" s="4">
        <v>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 t="s">
        <v>39</v>
      </c>
      <c r="C26" s="4">
        <v>0</v>
      </c>
      <c r="D26" s="4">
        <v>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 t="s">
        <v>39</v>
      </c>
      <c r="C27" s="4">
        <v>0</v>
      </c>
      <c r="D27" s="4">
        <v>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 t="s">
        <v>39</v>
      </c>
      <c r="C28" s="4">
        <v>0</v>
      </c>
      <c r="D28" s="4">
        <v>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 t="s">
        <v>39</v>
      </c>
      <c r="C29" s="4">
        <v>0</v>
      </c>
      <c r="D29" s="4">
        <v>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3065347.26</v>
      </c>
      <c r="P29" s="10"/>
      <c r="Q29" s="10"/>
    </row>
    <row r="30" spans="1:19">
      <c r="A30" s="6">
        <v>7</v>
      </c>
      <c r="B30" s="4" t="s">
        <v>39</v>
      </c>
      <c r="C30" s="4">
        <v>0</v>
      </c>
      <c r="D30" s="4">
        <v>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134</v>
      </c>
      <c r="N31" s="28" t="s">
        <v>52</v>
      </c>
      <c r="O31" s="25">
        <f>ROUNDDOWN(-(0.00),0)</f>
        <v>0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39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 t="s">
        <v>39</v>
      </c>
      <c r="C37" s="4">
        <v>0</v>
      </c>
      <c r="D37" s="4">
        <v>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2725284.0</v>
      </c>
      <c r="P37" s="10"/>
      <c r="Q37" s="10"/>
    </row>
    <row r="38" spans="1:19">
      <c r="A38" s="6">
        <v>15</v>
      </c>
      <c r="B38" s="4" t="s">
        <v>39</v>
      </c>
      <c r="C38" s="4">
        <v>0</v>
      </c>
      <c r="D38" s="4">
        <v>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8</v>
      </c>
      <c r="D39" s="9">
        <v>96</v>
      </c>
      <c r="E39" s="9">
        <v>64.0</v>
      </c>
      <c r="F39" s="9">
        <v>8.0</v>
      </c>
      <c r="G39" s="9">
        <v>24.0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32.0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16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2725300.0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198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199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200</v>
      </c>
      <c r="N4" s="10" t="s">
        <v>5</v>
      </c>
      <c r="O4" s="10">
        <v>251100026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113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114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201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 t="s">
        <v>39</v>
      </c>
      <c r="C9" s="4">
        <v>0</v>
      </c>
      <c r="D9" s="4">
        <v>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4233851.0</v>
      </c>
      <c r="P9" s="10"/>
      <c r="Q9" s="10"/>
    </row>
    <row r="10" spans="1:19">
      <c r="A10" s="6">
        <v>17</v>
      </c>
      <c r="B10" s="4" t="s">
        <v>39</v>
      </c>
      <c r="C10" s="4">
        <v>0</v>
      </c>
      <c r="D10" s="4">
        <v>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K10" s="10" t="s">
        <v>27</v>
      </c>
      <c r="L10" s="10"/>
      <c r="M10" s="25" t="s">
        <v>202</v>
      </c>
      <c r="N10" s="25">
        <v>734193.86</v>
      </c>
      <c r="O10" s="25"/>
      <c r="P10" s="10"/>
      <c r="Q10" s="10"/>
    </row>
    <row r="11" spans="1:19">
      <c r="A11" s="6">
        <v>18</v>
      </c>
      <c r="B11" s="4" t="s">
        <v>39</v>
      </c>
      <c r="C11" s="4">
        <v>0</v>
      </c>
      <c r="D11" s="4">
        <v>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K11" s="10" t="s">
        <v>29</v>
      </c>
      <c r="L11" s="10"/>
      <c r="M11" s="25" t="s">
        <v>203</v>
      </c>
      <c r="N11" s="25">
        <v>2936775.43</v>
      </c>
      <c r="O11" s="25"/>
      <c r="P11" s="10"/>
      <c r="Q11" s="10"/>
    </row>
    <row r="12" spans="1:19">
      <c r="A12" s="6">
        <v>19</v>
      </c>
      <c r="B12" s="4" t="s">
        <v>39</v>
      </c>
      <c r="C12" s="4">
        <v>0</v>
      </c>
      <c r="D12" s="4">
        <v>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 t="s">
        <v>39</v>
      </c>
      <c r="C13" s="4">
        <v>0</v>
      </c>
      <c r="D13" s="4">
        <v>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>
        <v>1</v>
      </c>
      <c r="C14" s="4">
        <v>1</v>
      </c>
      <c r="D14" s="4">
        <v>12</v>
      </c>
      <c r="E14" s="4">
        <v>8.0</v>
      </c>
      <c r="F14" s="4">
        <v>1.0</v>
      </c>
      <c r="G14" s="4">
        <v>3.0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3670969.0</v>
      </c>
      <c r="P14" s="10"/>
      <c r="Q14" s="10"/>
    </row>
    <row r="15" spans="1:19">
      <c r="A15" s="6">
        <v>22</v>
      </c>
      <c r="B15" s="4">
        <v>2</v>
      </c>
      <c r="C15" s="4">
        <v>1</v>
      </c>
      <c r="D15" s="4">
        <v>12</v>
      </c>
      <c r="E15" s="4">
        <v>8.0</v>
      </c>
      <c r="F15" s="4">
        <v>1.0</v>
      </c>
      <c r="G15" s="4">
        <v>3.0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>
        <v>3</v>
      </c>
      <c r="C16" s="4">
        <v>1</v>
      </c>
      <c r="D16" s="4">
        <v>12</v>
      </c>
      <c r="E16" s="4">
        <v>8.0</v>
      </c>
      <c r="F16" s="4">
        <v>1.0</v>
      </c>
      <c r="G16" s="4">
        <v>3.0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>
        <v>4</v>
      </c>
      <c r="C17" s="4">
        <v>1</v>
      </c>
      <c r="D17" s="4">
        <v>12</v>
      </c>
      <c r="E17" s="4">
        <v>8.0</v>
      </c>
      <c r="F17" s="4">
        <v>1.0</v>
      </c>
      <c r="G17" s="4">
        <v>3.0</v>
      </c>
      <c r="H17" s="4">
        <v>0.0</v>
      </c>
      <c r="I17" s="4">
        <v>0.0</v>
      </c>
      <c r="K17" s="10" t="s">
        <v>36</v>
      </c>
      <c r="L17" s="10"/>
      <c r="M17" s="27" t="s">
        <v>204</v>
      </c>
      <c r="N17" s="25">
        <v>150000</v>
      </c>
      <c r="O17" s="25"/>
      <c r="P17" s="10"/>
      <c r="Q17" s="10"/>
    </row>
    <row r="18" spans="1:19">
      <c r="A18" s="6">
        <v>25</v>
      </c>
      <c r="B18" s="4">
        <v>5</v>
      </c>
      <c r="C18" s="4">
        <v>1</v>
      </c>
      <c r="D18" s="4">
        <v>12</v>
      </c>
      <c r="E18" s="4">
        <v>8.0</v>
      </c>
      <c r="F18" s="4">
        <v>1.0</v>
      </c>
      <c r="G18" s="4">
        <v>3.0</v>
      </c>
      <c r="H18" s="4">
        <v>0.0</v>
      </c>
      <c r="I18" s="4">
        <v>0.0</v>
      </c>
      <c r="K18" s="10" t="s">
        <v>38</v>
      </c>
      <c r="L18" s="10"/>
      <c r="M18" s="27" t="s">
        <v>204</v>
      </c>
      <c r="N18" s="25">
        <v>250000</v>
      </c>
      <c r="O18" s="25"/>
      <c r="P18" s="10"/>
      <c r="Q18" s="10"/>
    </row>
    <row r="19" spans="1:19">
      <c r="A19" s="6">
        <v>26</v>
      </c>
      <c r="B19" s="4">
        <v>6</v>
      </c>
      <c r="C19" s="4">
        <v>1</v>
      </c>
      <c r="D19" s="4">
        <v>12</v>
      </c>
      <c r="E19" s="4">
        <v>8.0</v>
      </c>
      <c r="F19" s="4">
        <v>1.0</v>
      </c>
      <c r="G19" s="4">
        <v>3.0</v>
      </c>
      <c r="H19" s="4">
        <v>0.0</v>
      </c>
      <c r="I19" s="4">
        <v>0.0</v>
      </c>
      <c r="K19" s="10" t="s">
        <v>40</v>
      </c>
      <c r="L19" s="10"/>
      <c r="M19" s="27" t="s">
        <v>151</v>
      </c>
      <c r="N19" s="25">
        <v>228628</v>
      </c>
      <c r="O19" s="25"/>
      <c r="P19" s="10"/>
      <c r="Q19" s="10"/>
    </row>
    <row r="20" spans="1:19">
      <c r="A20" s="6">
        <v>27</v>
      </c>
      <c r="B20" s="4">
        <v>7</v>
      </c>
      <c r="C20" s="4" t="s">
        <v>25</v>
      </c>
      <c r="D20" s="4">
        <v>12</v>
      </c>
      <c r="E20" s="4">
        <v>8.0</v>
      </c>
      <c r="F20" s="4">
        <v>1.0</v>
      </c>
      <c r="G20" s="4">
        <v>3.0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>
        <v>8</v>
      </c>
      <c r="C21" s="4" t="s">
        <v>25</v>
      </c>
      <c r="D21" s="4">
        <v>12</v>
      </c>
      <c r="E21" s="4">
        <v>8.0</v>
      </c>
      <c r="F21" s="4">
        <v>1.0</v>
      </c>
      <c r="G21" s="4">
        <v>3.0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>
        <v>9</v>
      </c>
      <c r="C22" s="4">
        <v>1</v>
      </c>
      <c r="D22" s="4">
        <v>12</v>
      </c>
      <c r="E22" s="4">
        <v>8.0</v>
      </c>
      <c r="F22" s="4">
        <v>1.0</v>
      </c>
      <c r="G22" s="4">
        <v>3.0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628628</v>
      </c>
      <c r="P22" s="10"/>
      <c r="Q22" s="10"/>
    </row>
    <row r="23" spans="1:19">
      <c r="A23" s="6">
        <v>30</v>
      </c>
      <c r="B23" s="4">
        <v>1</v>
      </c>
      <c r="C23" s="4">
        <v>1</v>
      </c>
      <c r="D23" s="4">
        <v>12</v>
      </c>
      <c r="E23" s="4">
        <v>8.0</v>
      </c>
      <c r="F23" s="4">
        <v>1.0</v>
      </c>
      <c r="G23" s="4">
        <v>3.0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>
        <v>2</v>
      </c>
      <c r="C24" s="4">
        <v>1</v>
      </c>
      <c r="D24" s="4">
        <v>12</v>
      </c>
      <c r="E24" s="4">
        <v>8.0</v>
      </c>
      <c r="F24" s="4">
        <v>1.0</v>
      </c>
      <c r="G24" s="4">
        <v>3.0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>
        <v>3</v>
      </c>
      <c r="C25" s="4">
        <v>1</v>
      </c>
      <c r="D25" s="4">
        <v>12</v>
      </c>
      <c r="E25" s="4">
        <v>8.0</v>
      </c>
      <c r="F25" s="4">
        <v>1.0</v>
      </c>
      <c r="G25" s="4">
        <v>3.0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>
        <v>4</v>
      </c>
      <c r="C26" s="4">
        <v>1</v>
      </c>
      <c r="D26" s="4">
        <v>12</v>
      </c>
      <c r="E26" s="4">
        <v>8.0</v>
      </c>
      <c r="F26" s="4">
        <v>1.0</v>
      </c>
      <c r="G26" s="4">
        <v>3.0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>
        <v>5</v>
      </c>
      <c r="C27" s="4">
        <v>1</v>
      </c>
      <c r="D27" s="4">
        <v>12</v>
      </c>
      <c r="E27" s="4">
        <v>8.0</v>
      </c>
      <c r="F27" s="4">
        <v>1.0</v>
      </c>
      <c r="G27" s="4">
        <v>3.0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>
        <v>6</v>
      </c>
      <c r="C28" s="4">
        <v>1</v>
      </c>
      <c r="D28" s="4">
        <v>12</v>
      </c>
      <c r="E28" s="4">
        <v>8.0</v>
      </c>
      <c r="F28" s="4">
        <v>1.0</v>
      </c>
      <c r="G28" s="4">
        <v>3.0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>
        <v>7</v>
      </c>
      <c r="C29" s="4">
        <v>1</v>
      </c>
      <c r="D29" s="4">
        <v>12</v>
      </c>
      <c r="E29" s="4">
        <v>8.0</v>
      </c>
      <c r="F29" s="4">
        <v>1.0</v>
      </c>
      <c r="G29" s="4">
        <v>3.0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8738028.23</v>
      </c>
      <c r="P29" s="10"/>
      <c r="Q29" s="10"/>
    </row>
    <row r="30" spans="1:19">
      <c r="A30" s="6">
        <v>7</v>
      </c>
      <c r="B30" s="4">
        <v>8</v>
      </c>
      <c r="C30" s="4" t="s">
        <v>25</v>
      </c>
      <c r="D30" s="4">
        <v>12</v>
      </c>
      <c r="E30" s="4">
        <v>8.0</v>
      </c>
      <c r="F30" s="4">
        <v>1.0</v>
      </c>
      <c r="G30" s="4">
        <v>3.0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>
        <v>9</v>
      </c>
      <c r="C31" s="4" t="s">
        <v>25</v>
      </c>
      <c r="D31" s="4">
        <v>12</v>
      </c>
      <c r="E31" s="4">
        <v>8.0</v>
      </c>
      <c r="F31" s="4">
        <v>1.0</v>
      </c>
      <c r="G31" s="4">
        <v>3.0</v>
      </c>
      <c r="H31" s="4">
        <v>0.0</v>
      </c>
      <c r="I31" s="4">
        <v>0.0</v>
      </c>
      <c r="K31" s="10" t="s">
        <v>50</v>
      </c>
      <c r="L31" s="10"/>
      <c r="M31" s="28" t="s">
        <v>75</v>
      </c>
      <c r="N31" s="28" t="s">
        <v>165</v>
      </c>
      <c r="O31" s="25">
        <f>ROUNDDOWN(-(87380.00),0)</f>
        <v>-87380</v>
      </c>
      <c r="P31" s="10"/>
      <c r="Q31" s="10"/>
    </row>
    <row r="32" spans="1:19">
      <c r="A32" s="6">
        <v>9</v>
      </c>
      <c r="B32" s="4">
        <v>1</v>
      </c>
      <c r="C32" s="4" t="s">
        <v>25</v>
      </c>
      <c r="D32" s="4">
        <v>12</v>
      </c>
      <c r="E32" s="4">
        <v>8.0</v>
      </c>
      <c r="F32" s="4">
        <v>1.0</v>
      </c>
      <c r="G32" s="4">
        <v>3.0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>
        <v>2</v>
      </c>
      <c r="C33" s="4" t="s">
        <v>25</v>
      </c>
      <c r="D33" s="4">
        <v>12</v>
      </c>
      <c r="E33" s="4">
        <v>8.0</v>
      </c>
      <c r="F33" s="4">
        <v>1.0</v>
      </c>
      <c r="G33" s="4">
        <v>3.0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>
        <v>3</v>
      </c>
      <c r="C34" s="4" t="s">
        <v>25</v>
      </c>
      <c r="D34" s="4">
        <v>12</v>
      </c>
      <c r="E34" s="4">
        <v>8.0</v>
      </c>
      <c r="F34" s="4">
        <v>1.0</v>
      </c>
      <c r="G34" s="4">
        <v>3.0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>
        <v>4</v>
      </c>
      <c r="C35" s="4" t="s">
        <v>25</v>
      </c>
      <c r="D35" s="4">
        <v>12</v>
      </c>
      <c r="E35" s="4">
        <v>8.0</v>
      </c>
      <c r="F35" s="4">
        <v>1.0</v>
      </c>
      <c r="G35" s="4">
        <v>3.0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>
        <v>5</v>
      </c>
      <c r="C36" s="4" t="s">
        <v>25</v>
      </c>
      <c r="D36" s="4">
        <v>12</v>
      </c>
      <c r="E36" s="4">
        <v>8.0</v>
      </c>
      <c r="F36" s="4">
        <v>1.0</v>
      </c>
      <c r="G36" s="4">
        <v>3.0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>
        <v>6</v>
      </c>
      <c r="C37" s="4">
        <v>1</v>
      </c>
      <c r="D37" s="4">
        <v>12</v>
      </c>
      <c r="E37" s="4">
        <v>8.0</v>
      </c>
      <c r="F37" s="4">
        <v>1.0</v>
      </c>
      <c r="G37" s="4">
        <v>3.0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8310585.0</v>
      </c>
      <c r="P37" s="10"/>
      <c r="Q37" s="10"/>
    </row>
    <row r="38" spans="1:19">
      <c r="A38" s="6">
        <v>15</v>
      </c>
      <c r="B38" s="4">
        <v>7</v>
      </c>
      <c r="C38" s="4">
        <v>1</v>
      </c>
      <c r="D38" s="4">
        <v>12</v>
      </c>
      <c r="E38" s="4">
        <v>8.0</v>
      </c>
      <c r="F38" s="4">
        <v>1.0</v>
      </c>
      <c r="G38" s="4">
        <v>3.0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25</v>
      </c>
      <c r="D39" s="9">
        <v>300</v>
      </c>
      <c r="E39" s="9">
        <v>200.0</v>
      </c>
      <c r="F39" s="9">
        <v>25.0</v>
      </c>
      <c r="G39" s="9">
        <v>75.0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100.0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15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8310600.0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200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205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206</v>
      </c>
      <c r="N4" s="10" t="s">
        <v>5</v>
      </c>
      <c r="O4" s="10">
        <v>251100022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113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78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207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>
        <v>1</v>
      </c>
      <c r="C9" s="4" t="s">
        <v>25</v>
      </c>
      <c r="D9" s="4">
        <v>12</v>
      </c>
      <c r="E9" s="4">
        <v>8.0</v>
      </c>
      <c r="F9" s="4">
        <v>1.0</v>
      </c>
      <c r="G9" s="4">
        <v>3.0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3387081.0</v>
      </c>
      <c r="P9" s="10"/>
      <c r="Q9" s="10"/>
    </row>
    <row r="10" spans="1:19">
      <c r="A10" s="6">
        <v>17</v>
      </c>
      <c r="B10" s="4">
        <v>2</v>
      </c>
      <c r="C10" s="4" t="s">
        <v>25</v>
      </c>
      <c r="D10" s="4">
        <v>12</v>
      </c>
      <c r="E10" s="4">
        <v>8.0</v>
      </c>
      <c r="F10" s="4">
        <v>1.0</v>
      </c>
      <c r="G10" s="4">
        <v>3.0</v>
      </c>
      <c r="H10" s="4">
        <v>0.0</v>
      </c>
      <c r="I10" s="4">
        <v>0.0</v>
      </c>
      <c r="K10" s="10" t="s">
        <v>27</v>
      </c>
      <c r="L10" s="10"/>
      <c r="M10" s="25" t="s">
        <v>208</v>
      </c>
      <c r="N10" s="25">
        <v>587355.09</v>
      </c>
      <c r="O10" s="25"/>
      <c r="P10" s="10"/>
      <c r="Q10" s="10"/>
    </row>
    <row r="11" spans="1:19">
      <c r="A11" s="6">
        <v>18</v>
      </c>
      <c r="B11" s="4">
        <v>3</v>
      </c>
      <c r="C11" s="4" t="s">
        <v>25</v>
      </c>
      <c r="D11" s="4">
        <v>12</v>
      </c>
      <c r="E11" s="4">
        <v>8.0</v>
      </c>
      <c r="F11" s="4">
        <v>1.0</v>
      </c>
      <c r="G11" s="4">
        <v>3.0</v>
      </c>
      <c r="H11" s="4">
        <v>0.0</v>
      </c>
      <c r="I11" s="4">
        <v>0.0</v>
      </c>
      <c r="K11" s="10" t="s">
        <v>29</v>
      </c>
      <c r="L11" s="10"/>
      <c r="M11" s="25" t="s">
        <v>209</v>
      </c>
      <c r="N11" s="25">
        <v>2349420.35</v>
      </c>
      <c r="O11" s="25"/>
      <c r="P11" s="10"/>
      <c r="Q11" s="10"/>
    </row>
    <row r="12" spans="1:19">
      <c r="A12" s="6">
        <v>19</v>
      </c>
      <c r="B12" s="4">
        <v>4</v>
      </c>
      <c r="C12" s="4" t="s">
        <v>25</v>
      </c>
      <c r="D12" s="4">
        <v>12</v>
      </c>
      <c r="E12" s="4">
        <v>8.0</v>
      </c>
      <c r="F12" s="4">
        <v>1.0</v>
      </c>
      <c r="G12" s="4">
        <v>3.0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>
        <v>5</v>
      </c>
      <c r="C13" s="4" t="s">
        <v>25</v>
      </c>
      <c r="D13" s="4">
        <v>12</v>
      </c>
      <c r="E13" s="4">
        <v>8.0</v>
      </c>
      <c r="F13" s="4">
        <v>1.0</v>
      </c>
      <c r="G13" s="4">
        <v>3.0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>
        <v>6</v>
      </c>
      <c r="C14" s="4" t="s">
        <v>25</v>
      </c>
      <c r="D14" s="4">
        <v>12</v>
      </c>
      <c r="E14" s="4">
        <v>8.0</v>
      </c>
      <c r="F14" s="4">
        <v>1.0</v>
      </c>
      <c r="G14" s="4">
        <v>3.0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2936775.0</v>
      </c>
      <c r="P14" s="10"/>
      <c r="Q14" s="10"/>
    </row>
    <row r="15" spans="1:19">
      <c r="A15" s="6">
        <v>22</v>
      </c>
      <c r="B15" s="4">
        <v>7</v>
      </c>
      <c r="C15" s="4" t="s">
        <v>25</v>
      </c>
      <c r="D15" s="4">
        <v>12</v>
      </c>
      <c r="E15" s="4">
        <v>8.0</v>
      </c>
      <c r="F15" s="4">
        <v>1.0</v>
      </c>
      <c r="G15" s="4">
        <v>3.0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>
        <v>8</v>
      </c>
      <c r="C16" s="4" t="s">
        <v>25</v>
      </c>
      <c r="D16" s="4">
        <v>12</v>
      </c>
      <c r="E16" s="4">
        <v>8.0</v>
      </c>
      <c r="F16" s="4">
        <v>1.0</v>
      </c>
      <c r="G16" s="4">
        <v>3.0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>
        <v>9</v>
      </c>
      <c r="C17" s="4" t="s">
        <v>25</v>
      </c>
      <c r="D17" s="4">
        <v>12</v>
      </c>
      <c r="E17" s="4">
        <v>8.0</v>
      </c>
      <c r="F17" s="4">
        <v>1.0</v>
      </c>
      <c r="G17" s="4">
        <v>3.0</v>
      </c>
      <c r="H17" s="4">
        <v>0.0</v>
      </c>
      <c r="I17" s="4">
        <v>0.0</v>
      </c>
      <c r="K17" s="10" t="s">
        <v>36</v>
      </c>
      <c r="L17" s="10"/>
      <c r="M17" s="27" t="s">
        <v>210</v>
      </c>
      <c r="N17" s="25">
        <v>120000</v>
      </c>
      <c r="O17" s="25"/>
      <c r="P17" s="10"/>
      <c r="Q17" s="10"/>
    </row>
    <row r="18" spans="1:19">
      <c r="A18" s="6">
        <v>25</v>
      </c>
      <c r="B18" s="4">
        <v>1</v>
      </c>
      <c r="C18" s="4" t="s">
        <v>25</v>
      </c>
      <c r="D18" s="4">
        <v>12</v>
      </c>
      <c r="E18" s="4">
        <v>8.0</v>
      </c>
      <c r="F18" s="4">
        <v>1.0</v>
      </c>
      <c r="G18" s="4">
        <v>3.0</v>
      </c>
      <c r="H18" s="4">
        <v>0.0</v>
      </c>
      <c r="I18" s="4">
        <v>0.0</v>
      </c>
      <c r="K18" s="10" t="s">
        <v>38</v>
      </c>
      <c r="L18" s="10"/>
      <c r="M18" s="27" t="s">
        <v>210</v>
      </c>
      <c r="N18" s="25">
        <v>200000</v>
      </c>
      <c r="O18" s="25"/>
      <c r="P18" s="10"/>
      <c r="Q18" s="10"/>
    </row>
    <row r="19" spans="1:19">
      <c r="A19" s="6">
        <v>26</v>
      </c>
      <c r="B19" s="4">
        <v>2</v>
      </c>
      <c r="C19" s="4" t="s">
        <v>25</v>
      </c>
      <c r="D19" s="4">
        <v>12</v>
      </c>
      <c r="E19" s="4">
        <v>8.0</v>
      </c>
      <c r="F19" s="4">
        <v>1.0</v>
      </c>
      <c r="G19" s="4">
        <v>3.0</v>
      </c>
      <c r="H19" s="4">
        <v>0.0</v>
      </c>
      <c r="I19" s="4">
        <v>0.0</v>
      </c>
      <c r="K19" s="10" t="s">
        <v>40</v>
      </c>
      <c r="L19" s="10"/>
      <c r="M19" s="27" t="s">
        <v>211</v>
      </c>
      <c r="N19" s="25">
        <v>482659</v>
      </c>
      <c r="O19" s="25"/>
      <c r="P19" s="10"/>
      <c r="Q19" s="10"/>
    </row>
    <row r="20" spans="1:19">
      <c r="A20" s="6">
        <v>27</v>
      </c>
      <c r="B20" s="4">
        <v>3</v>
      </c>
      <c r="C20" s="4" t="s">
        <v>25</v>
      </c>
      <c r="D20" s="4">
        <v>12</v>
      </c>
      <c r="E20" s="4">
        <v>8.0</v>
      </c>
      <c r="F20" s="4">
        <v>1.0</v>
      </c>
      <c r="G20" s="4">
        <v>3.0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>
        <v>4</v>
      </c>
      <c r="C21" s="4" t="s">
        <v>25</v>
      </c>
      <c r="D21" s="4">
        <v>12</v>
      </c>
      <c r="E21" s="4">
        <v>8.0</v>
      </c>
      <c r="F21" s="4">
        <v>1.0</v>
      </c>
      <c r="G21" s="4">
        <v>3.0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>
        <v>5</v>
      </c>
      <c r="C22" s="4" t="s">
        <v>25</v>
      </c>
      <c r="D22" s="4">
        <v>12</v>
      </c>
      <c r="E22" s="4">
        <v>8.0</v>
      </c>
      <c r="F22" s="4">
        <v>1.0</v>
      </c>
      <c r="G22" s="4">
        <v>3.0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802659</v>
      </c>
      <c r="P22" s="10"/>
      <c r="Q22" s="10"/>
    </row>
    <row r="23" spans="1:19">
      <c r="A23" s="6">
        <v>30</v>
      </c>
      <c r="B23" s="4">
        <v>6</v>
      </c>
      <c r="C23" s="4" t="s">
        <v>25</v>
      </c>
      <c r="D23" s="4">
        <v>12</v>
      </c>
      <c r="E23" s="4">
        <v>8.0</v>
      </c>
      <c r="F23" s="4">
        <v>1.0</v>
      </c>
      <c r="G23" s="4">
        <v>3.0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>
        <v>7</v>
      </c>
      <c r="C24" s="4" t="s">
        <v>25</v>
      </c>
      <c r="D24" s="4">
        <v>12</v>
      </c>
      <c r="E24" s="4">
        <v>8.0</v>
      </c>
      <c r="F24" s="4">
        <v>1.0</v>
      </c>
      <c r="G24" s="4">
        <v>3.0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>
        <v>8</v>
      </c>
      <c r="C25" s="4" t="s">
        <v>25</v>
      </c>
      <c r="D25" s="4">
        <v>12</v>
      </c>
      <c r="E25" s="4">
        <v>8.0</v>
      </c>
      <c r="F25" s="4">
        <v>1.0</v>
      </c>
      <c r="G25" s="4">
        <v>3.0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>
        <v>9</v>
      </c>
      <c r="C26" s="4" t="s">
        <v>25</v>
      </c>
      <c r="D26" s="4">
        <v>12</v>
      </c>
      <c r="E26" s="4">
        <v>8.0</v>
      </c>
      <c r="F26" s="4">
        <v>1.0</v>
      </c>
      <c r="G26" s="4">
        <v>3.0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>
        <v>1</v>
      </c>
      <c r="C27" s="4" t="s">
        <v>25</v>
      </c>
      <c r="D27" s="4">
        <v>12</v>
      </c>
      <c r="E27" s="4">
        <v>8.0</v>
      </c>
      <c r="F27" s="4">
        <v>1.0</v>
      </c>
      <c r="G27" s="4">
        <v>3.0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>
        <v>2</v>
      </c>
      <c r="C28" s="4">
        <v>1</v>
      </c>
      <c r="D28" s="4">
        <v>12</v>
      </c>
      <c r="E28" s="4">
        <v>8.0</v>
      </c>
      <c r="F28" s="4">
        <v>1.0</v>
      </c>
      <c r="G28" s="4">
        <v>3.0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 t="s">
        <v>39</v>
      </c>
      <c r="C29" s="4">
        <v>0</v>
      </c>
      <c r="D29" s="4">
        <v>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7331095.13</v>
      </c>
      <c r="P29" s="10"/>
      <c r="Q29" s="10"/>
    </row>
    <row r="30" spans="1:19">
      <c r="A30" s="6">
        <v>7</v>
      </c>
      <c r="B30" s="4" t="s">
        <v>39</v>
      </c>
      <c r="C30" s="4">
        <v>0</v>
      </c>
      <c r="D30" s="4">
        <v>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51</v>
      </c>
      <c r="N31" s="28" t="s">
        <v>212</v>
      </c>
      <c r="O31" s="25">
        <f>ROUNDDOWN(-(91638.00),0)</f>
        <v>-91638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39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 t="s">
        <v>39</v>
      </c>
      <c r="C37" s="4">
        <v>0</v>
      </c>
      <c r="D37" s="4">
        <v>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6899394.0</v>
      </c>
      <c r="P37" s="10"/>
      <c r="Q37" s="10"/>
    </row>
    <row r="38" spans="1:19">
      <c r="A38" s="6">
        <v>15</v>
      </c>
      <c r="B38" s="4" t="s">
        <v>39</v>
      </c>
      <c r="C38" s="4">
        <v>0</v>
      </c>
      <c r="D38" s="4">
        <v>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20</v>
      </c>
      <c r="D39" s="9">
        <v>240</v>
      </c>
      <c r="E39" s="9">
        <v>160.0</v>
      </c>
      <c r="F39" s="9">
        <v>20.0</v>
      </c>
      <c r="G39" s="9">
        <v>60.0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80.0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6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6899400.0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206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213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214</v>
      </c>
      <c r="N4" s="10" t="s">
        <v>5</v>
      </c>
      <c r="O4" s="10">
        <v>251100079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8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128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215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>
        <v>1</v>
      </c>
      <c r="C9" s="4">
        <v>1</v>
      </c>
      <c r="D9" s="4">
        <v>12</v>
      </c>
      <c r="E9" s="4">
        <v>8.0</v>
      </c>
      <c r="F9" s="4">
        <v>1.0</v>
      </c>
      <c r="G9" s="4">
        <v>3.0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1862895.0</v>
      </c>
      <c r="P9" s="10"/>
      <c r="Q9" s="10"/>
    </row>
    <row r="10" spans="1:19">
      <c r="A10" s="6">
        <v>17</v>
      </c>
      <c r="B10" s="4">
        <v>2</v>
      </c>
      <c r="C10" s="4">
        <v>1</v>
      </c>
      <c r="D10" s="4">
        <v>12</v>
      </c>
      <c r="E10" s="4">
        <v>8.0</v>
      </c>
      <c r="F10" s="4">
        <v>1.0</v>
      </c>
      <c r="G10" s="4">
        <v>3.0</v>
      </c>
      <c r="H10" s="4">
        <v>0.0</v>
      </c>
      <c r="I10" s="4">
        <v>0.0</v>
      </c>
      <c r="K10" s="10" t="s">
        <v>27</v>
      </c>
      <c r="L10" s="10"/>
      <c r="M10" s="25" t="s">
        <v>216</v>
      </c>
      <c r="N10" s="25">
        <v>323045.3</v>
      </c>
      <c r="O10" s="25"/>
      <c r="P10" s="10"/>
      <c r="Q10" s="10"/>
    </row>
    <row r="11" spans="1:19">
      <c r="A11" s="6">
        <v>18</v>
      </c>
      <c r="B11" s="4">
        <v>3</v>
      </c>
      <c r="C11" s="4">
        <v>1</v>
      </c>
      <c r="D11" s="4">
        <v>12</v>
      </c>
      <c r="E11" s="4">
        <v>8.0</v>
      </c>
      <c r="F11" s="4">
        <v>1.0</v>
      </c>
      <c r="G11" s="4">
        <v>3.0</v>
      </c>
      <c r="H11" s="4">
        <v>0.0</v>
      </c>
      <c r="I11" s="4">
        <v>0.0</v>
      </c>
      <c r="K11" s="10" t="s">
        <v>29</v>
      </c>
      <c r="L11" s="10"/>
      <c r="M11" s="25" t="s">
        <v>217</v>
      </c>
      <c r="N11" s="25">
        <v>1292181.19</v>
      </c>
      <c r="O11" s="25"/>
      <c r="P11" s="10"/>
      <c r="Q11" s="10"/>
    </row>
    <row r="12" spans="1:19">
      <c r="A12" s="6">
        <v>19</v>
      </c>
      <c r="B12" s="4">
        <v>4</v>
      </c>
      <c r="C12" s="4">
        <v>1</v>
      </c>
      <c r="D12" s="4">
        <v>12</v>
      </c>
      <c r="E12" s="4">
        <v>8.0</v>
      </c>
      <c r="F12" s="4">
        <v>1.0</v>
      </c>
      <c r="G12" s="4">
        <v>3.0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>
        <v>5</v>
      </c>
      <c r="C13" s="4">
        <v>1</v>
      </c>
      <c r="D13" s="4">
        <v>12</v>
      </c>
      <c r="E13" s="4">
        <v>8.0</v>
      </c>
      <c r="F13" s="4">
        <v>1.0</v>
      </c>
      <c r="G13" s="4">
        <v>3.0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>
        <v>6</v>
      </c>
      <c r="C14" s="4">
        <v>1</v>
      </c>
      <c r="D14" s="4">
        <v>12</v>
      </c>
      <c r="E14" s="4">
        <v>8.0</v>
      </c>
      <c r="F14" s="4">
        <v>1.0</v>
      </c>
      <c r="G14" s="4">
        <v>3.0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1615226.0</v>
      </c>
      <c r="P14" s="10"/>
      <c r="Q14" s="10"/>
    </row>
    <row r="15" spans="1:19">
      <c r="A15" s="6">
        <v>22</v>
      </c>
      <c r="B15" s="4">
        <v>7</v>
      </c>
      <c r="C15" s="4">
        <v>1</v>
      </c>
      <c r="D15" s="4">
        <v>12</v>
      </c>
      <c r="E15" s="4">
        <v>8.0</v>
      </c>
      <c r="F15" s="4">
        <v>1.0</v>
      </c>
      <c r="G15" s="4">
        <v>3.0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>
        <v>8</v>
      </c>
      <c r="C16" s="4">
        <v>1</v>
      </c>
      <c r="D16" s="4">
        <v>12</v>
      </c>
      <c r="E16" s="4">
        <v>8.0</v>
      </c>
      <c r="F16" s="4">
        <v>1.0</v>
      </c>
      <c r="G16" s="4">
        <v>3.0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 t="s">
        <v>39</v>
      </c>
      <c r="C17" s="4">
        <v>0</v>
      </c>
      <c r="D17" s="4">
        <v>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K17" s="10" t="s">
        <v>36</v>
      </c>
      <c r="L17" s="10"/>
      <c r="M17" s="27" t="s">
        <v>74</v>
      </c>
      <c r="N17" s="25">
        <v>66000</v>
      </c>
      <c r="O17" s="25"/>
      <c r="P17" s="10"/>
      <c r="Q17" s="10"/>
    </row>
    <row r="18" spans="1:19">
      <c r="A18" s="6">
        <v>25</v>
      </c>
      <c r="B18" s="4">
        <v>1</v>
      </c>
      <c r="C18" s="4" t="s">
        <v>25</v>
      </c>
      <c r="D18" s="4">
        <v>12</v>
      </c>
      <c r="E18" s="4">
        <v>8.0</v>
      </c>
      <c r="F18" s="4">
        <v>1.0</v>
      </c>
      <c r="G18" s="4">
        <v>3.0</v>
      </c>
      <c r="H18" s="4">
        <v>0.0</v>
      </c>
      <c r="I18" s="4">
        <v>0.0</v>
      </c>
      <c r="K18" s="10" t="s">
        <v>38</v>
      </c>
      <c r="L18" s="10"/>
      <c r="M18" s="27" t="s">
        <v>74</v>
      </c>
      <c r="N18" s="25">
        <v>110000</v>
      </c>
      <c r="O18" s="25"/>
      <c r="P18" s="10"/>
      <c r="Q18" s="10"/>
    </row>
    <row r="19" spans="1:19">
      <c r="A19" s="6">
        <v>26</v>
      </c>
      <c r="B19" s="4" t="s">
        <v>39</v>
      </c>
      <c r="C19" s="4">
        <v>0</v>
      </c>
      <c r="D19" s="4">
        <v>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K19" s="10" t="s">
        <v>40</v>
      </c>
      <c r="L19" s="10"/>
      <c r="M19" s="27" t="s">
        <v>107</v>
      </c>
      <c r="N19" s="25">
        <v>76209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>
        <v>1</v>
      </c>
      <c r="C21" s="4" t="s">
        <v>25</v>
      </c>
      <c r="D21" s="4">
        <v>12</v>
      </c>
      <c r="E21" s="4">
        <v>8.0</v>
      </c>
      <c r="F21" s="4">
        <v>1.0</v>
      </c>
      <c r="G21" s="4">
        <v>3.0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>
        <v>2</v>
      </c>
      <c r="C22" s="4" t="s">
        <v>25</v>
      </c>
      <c r="D22" s="4">
        <v>12</v>
      </c>
      <c r="E22" s="4">
        <v>8.0</v>
      </c>
      <c r="F22" s="4">
        <v>1.0</v>
      </c>
      <c r="G22" s="4">
        <v>3.0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252209</v>
      </c>
      <c r="P22" s="10"/>
      <c r="Q22" s="10"/>
    </row>
    <row r="23" spans="1:19">
      <c r="A23" s="6">
        <v>30</v>
      </c>
      <c r="B23" s="4" t="s">
        <v>39</v>
      </c>
      <c r="C23" s="4">
        <v>0</v>
      </c>
      <c r="D23" s="4">
        <v>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 t="s">
        <v>39</v>
      </c>
      <c r="C24" s="4">
        <v>0</v>
      </c>
      <c r="D24" s="4">
        <v>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 t="s">
        <v>39</v>
      </c>
      <c r="C25" s="4">
        <v>0</v>
      </c>
      <c r="D25" s="4">
        <v>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 t="s">
        <v>39</v>
      </c>
      <c r="C26" s="4">
        <v>0</v>
      </c>
      <c r="D26" s="4">
        <v>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 t="s">
        <v>39</v>
      </c>
      <c r="C27" s="4">
        <v>0</v>
      </c>
      <c r="D27" s="4">
        <v>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 t="s">
        <v>39</v>
      </c>
      <c r="C28" s="4">
        <v>0</v>
      </c>
      <c r="D28" s="4">
        <v>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 t="s">
        <v>39</v>
      </c>
      <c r="C29" s="4">
        <v>0</v>
      </c>
      <c r="D29" s="4">
        <v>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3934909.73</v>
      </c>
      <c r="P29" s="10"/>
      <c r="Q29" s="10"/>
    </row>
    <row r="30" spans="1:19">
      <c r="A30" s="6">
        <v>7</v>
      </c>
      <c r="B30" s="4" t="s">
        <v>39</v>
      </c>
      <c r="C30" s="4">
        <v>0</v>
      </c>
      <c r="D30" s="4">
        <v>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134</v>
      </c>
      <c r="N31" s="28" t="s">
        <v>52</v>
      </c>
      <c r="O31" s="25">
        <f>ROUNDDOWN(-(0.00),0)</f>
        <v>0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39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 t="s">
        <v>39</v>
      </c>
      <c r="C37" s="4">
        <v>0</v>
      </c>
      <c r="D37" s="4">
        <v>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3594847.0</v>
      </c>
      <c r="P37" s="10"/>
      <c r="Q37" s="10"/>
    </row>
    <row r="38" spans="1:19">
      <c r="A38" s="6">
        <v>15</v>
      </c>
      <c r="B38" s="4" t="s">
        <v>39</v>
      </c>
      <c r="C38" s="4">
        <v>0</v>
      </c>
      <c r="D38" s="4">
        <v>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11</v>
      </c>
      <c r="D39" s="9">
        <v>132</v>
      </c>
      <c r="E39" s="9">
        <v>88.0</v>
      </c>
      <c r="F39" s="9">
        <v>11.0</v>
      </c>
      <c r="G39" s="9">
        <v>33.0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44.0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-47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3594800.0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214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218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219</v>
      </c>
      <c r="N4" s="10" t="s">
        <v>5</v>
      </c>
      <c r="O4" s="10">
        <v>251100037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220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69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221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 t="s">
        <v>39</v>
      </c>
      <c r="C9" s="4">
        <v>0</v>
      </c>
      <c r="D9" s="4">
        <v>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3895143.0</v>
      </c>
      <c r="P9" s="10"/>
      <c r="Q9" s="10"/>
    </row>
    <row r="10" spans="1:19">
      <c r="A10" s="6">
        <v>17</v>
      </c>
      <c r="B10" s="4" t="s">
        <v>39</v>
      </c>
      <c r="C10" s="4">
        <v>0</v>
      </c>
      <c r="D10" s="4">
        <v>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K10" s="10" t="s">
        <v>27</v>
      </c>
      <c r="L10" s="10"/>
      <c r="M10" s="25" t="s">
        <v>142</v>
      </c>
      <c r="N10" s="25">
        <v>675458.35</v>
      </c>
      <c r="O10" s="25"/>
      <c r="P10" s="10"/>
      <c r="Q10" s="10"/>
    </row>
    <row r="11" spans="1:19">
      <c r="A11" s="6">
        <v>18</v>
      </c>
      <c r="B11" s="4" t="s">
        <v>39</v>
      </c>
      <c r="C11" s="4">
        <v>0</v>
      </c>
      <c r="D11" s="4">
        <v>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K11" s="10" t="s">
        <v>29</v>
      </c>
      <c r="L11" s="10"/>
      <c r="M11" s="25" t="s">
        <v>143</v>
      </c>
      <c r="N11" s="25">
        <v>2701833.4</v>
      </c>
      <c r="O11" s="25"/>
      <c r="P11" s="10"/>
      <c r="Q11" s="10"/>
    </row>
    <row r="12" spans="1:19">
      <c r="A12" s="6">
        <v>19</v>
      </c>
      <c r="B12" s="4" t="s">
        <v>39</v>
      </c>
      <c r="C12" s="4">
        <v>0</v>
      </c>
      <c r="D12" s="4">
        <v>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 t="s">
        <v>39</v>
      </c>
      <c r="C13" s="4">
        <v>0</v>
      </c>
      <c r="D13" s="4">
        <v>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 t="s">
        <v>39</v>
      </c>
      <c r="C14" s="4">
        <v>0</v>
      </c>
      <c r="D14" s="4">
        <v>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3377292.0</v>
      </c>
      <c r="P14" s="10"/>
      <c r="Q14" s="10"/>
    </row>
    <row r="15" spans="1:19">
      <c r="A15" s="6">
        <v>22</v>
      </c>
      <c r="B15" s="4">
        <v>1</v>
      </c>
      <c r="C15" s="4">
        <v>1</v>
      </c>
      <c r="D15" s="4">
        <v>12</v>
      </c>
      <c r="E15" s="4">
        <v>8.0</v>
      </c>
      <c r="F15" s="4">
        <v>1.0</v>
      </c>
      <c r="G15" s="4">
        <v>3.0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>
        <v>2</v>
      </c>
      <c r="C16" s="4">
        <v>1</v>
      </c>
      <c r="D16" s="4">
        <v>12</v>
      </c>
      <c r="E16" s="4">
        <v>8.0</v>
      </c>
      <c r="F16" s="4">
        <v>1.0</v>
      </c>
      <c r="G16" s="4">
        <v>3.0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>
        <v>3</v>
      </c>
      <c r="C17" s="4">
        <v>1</v>
      </c>
      <c r="D17" s="4">
        <v>12</v>
      </c>
      <c r="E17" s="4">
        <v>8.0</v>
      </c>
      <c r="F17" s="4">
        <v>1.0</v>
      </c>
      <c r="G17" s="4">
        <v>3.0</v>
      </c>
      <c r="H17" s="4">
        <v>0.0</v>
      </c>
      <c r="I17" s="4">
        <v>0.0</v>
      </c>
      <c r="K17" s="10" t="s">
        <v>36</v>
      </c>
      <c r="L17" s="10"/>
      <c r="M17" s="27" t="s">
        <v>144</v>
      </c>
      <c r="N17" s="25">
        <v>138000</v>
      </c>
      <c r="O17" s="25"/>
      <c r="P17" s="10"/>
      <c r="Q17" s="10"/>
    </row>
    <row r="18" spans="1:19">
      <c r="A18" s="6">
        <v>25</v>
      </c>
      <c r="B18" s="4">
        <v>4</v>
      </c>
      <c r="C18" s="4">
        <v>1</v>
      </c>
      <c r="D18" s="4">
        <v>12</v>
      </c>
      <c r="E18" s="4">
        <v>8.0</v>
      </c>
      <c r="F18" s="4">
        <v>1.0</v>
      </c>
      <c r="G18" s="4">
        <v>3.0</v>
      </c>
      <c r="H18" s="4">
        <v>0.0</v>
      </c>
      <c r="I18" s="4">
        <v>0.0</v>
      </c>
      <c r="K18" s="10" t="s">
        <v>38</v>
      </c>
      <c r="L18" s="10"/>
      <c r="M18" s="27" t="s">
        <v>144</v>
      </c>
      <c r="N18" s="25">
        <v>230000</v>
      </c>
      <c r="O18" s="25"/>
      <c r="P18" s="10"/>
      <c r="Q18" s="10"/>
    </row>
    <row r="19" spans="1:19">
      <c r="A19" s="6">
        <v>26</v>
      </c>
      <c r="B19" s="4">
        <v>5</v>
      </c>
      <c r="C19" s="4">
        <v>1</v>
      </c>
      <c r="D19" s="4">
        <v>12</v>
      </c>
      <c r="E19" s="4">
        <v>8.0</v>
      </c>
      <c r="F19" s="4">
        <v>1.0</v>
      </c>
      <c r="G19" s="4">
        <v>3.0</v>
      </c>
      <c r="H19" s="4">
        <v>0.0</v>
      </c>
      <c r="I19" s="4">
        <v>0.0</v>
      </c>
      <c r="K19" s="10" t="s">
        <v>40</v>
      </c>
      <c r="L19" s="10"/>
      <c r="M19" s="27" t="s">
        <v>80</v>
      </c>
      <c r="N19" s="25">
        <v>0</v>
      </c>
      <c r="O19" s="25"/>
      <c r="P19" s="10"/>
      <c r="Q19" s="10"/>
    </row>
    <row r="20" spans="1:19">
      <c r="A20" s="6">
        <v>27</v>
      </c>
      <c r="B20" s="4">
        <v>6</v>
      </c>
      <c r="C20" s="4">
        <v>1</v>
      </c>
      <c r="D20" s="4">
        <v>12</v>
      </c>
      <c r="E20" s="4">
        <v>8.0</v>
      </c>
      <c r="F20" s="4">
        <v>1.0</v>
      </c>
      <c r="G20" s="4">
        <v>3.0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>
        <v>7</v>
      </c>
      <c r="C21" s="4">
        <v>1</v>
      </c>
      <c r="D21" s="4">
        <v>12</v>
      </c>
      <c r="E21" s="4">
        <v>8.0</v>
      </c>
      <c r="F21" s="4">
        <v>1.0</v>
      </c>
      <c r="G21" s="4">
        <v>3.0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>
        <v>8</v>
      </c>
      <c r="C22" s="4">
        <v>1</v>
      </c>
      <c r="D22" s="4">
        <v>12</v>
      </c>
      <c r="E22" s="4">
        <v>8.0</v>
      </c>
      <c r="F22" s="4">
        <v>1.0</v>
      </c>
      <c r="G22" s="4">
        <v>3.0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368000</v>
      </c>
      <c r="P22" s="10"/>
      <c r="Q22" s="10"/>
    </row>
    <row r="23" spans="1:19">
      <c r="A23" s="6">
        <v>30</v>
      </c>
      <c r="B23" s="4">
        <v>9</v>
      </c>
      <c r="C23" s="4">
        <v>1</v>
      </c>
      <c r="D23" s="4">
        <v>12</v>
      </c>
      <c r="E23" s="4">
        <v>8.0</v>
      </c>
      <c r="F23" s="4">
        <v>1.0</v>
      </c>
      <c r="G23" s="4">
        <v>3.0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>
        <v>1</v>
      </c>
      <c r="C24" s="4">
        <v>1</v>
      </c>
      <c r="D24" s="4">
        <v>12</v>
      </c>
      <c r="E24" s="4">
        <v>8.0</v>
      </c>
      <c r="F24" s="4">
        <v>1.0</v>
      </c>
      <c r="G24" s="4">
        <v>3.0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>
        <v>2</v>
      </c>
      <c r="C25" s="4">
        <v>1</v>
      </c>
      <c r="D25" s="4">
        <v>12</v>
      </c>
      <c r="E25" s="4">
        <v>8.0</v>
      </c>
      <c r="F25" s="4">
        <v>1.0</v>
      </c>
      <c r="G25" s="4">
        <v>3.0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>
        <v>3</v>
      </c>
      <c r="C26" s="4">
        <v>1</v>
      </c>
      <c r="D26" s="4">
        <v>12</v>
      </c>
      <c r="E26" s="4">
        <v>8.0</v>
      </c>
      <c r="F26" s="4">
        <v>1.0</v>
      </c>
      <c r="G26" s="4">
        <v>3.0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>
        <v>4</v>
      </c>
      <c r="C27" s="4">
        <v>1</v>
      </c>
      <c r="D27" s="4">
        <v>12</v>
      </c>
      <c r="E27" s="4">
        <v>8.0</v>
      </c>
      <c r="F27" s="4">
        <v>1.0</v>
      </c>
      <c r="G27" s="4">
        <v>3.0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>
        <v>5</v>
      </c>
      <c r="C28" s="4">
        <v>1</v>
      </c>
      <c r="D28" s="4">
        <v>12</v>
      </c>
      <c r="E28" s="4">
        <v>8.0</v>
      </c>
      <c r="F28" s="4">
        <v>1.0</v>
      </c>
      <c r="G28" s="4">
        <v>3.0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>
        <v>6</v>
      </c>
      <c r="C29" s="4">
        <v>1</v>
      </c>
      <c r="D29" s="4">
        <v>12</v>
      </c>
      <c r="E29" s="4">
        <v>8.0</v>
      </c>
      <c r="F29" s="4">
        <v>1.0</v>
      </c>
      <c r="G29" s="4">
        <v>3.0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7845014.59</v>
      </c>
      <c r="P29" s="10"/>
      <c r="Q29" s="10"/>
    </row>
    <row r="30" spans="1:19">
      <c r="A30" s="6">
        <v>7</v>
      </c>
      <c r="B30" s="4">
        <v>7</v>
      </c>
      <c r="C30" s="4">
        <v>1</v>
      </c>
      <c r="D30" s="4">
        <v>12</v>
      </c>
      <c r="E30" s="4">
        <v>8.0</v>
      </c>
      <c r="F30" s="4">
        <v>1.0</v>
      </c>
      <c r="G30" s="4">
        <v>3.0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>
        <v>8</v>
      </c>
      <c r="C31" s="4">
        <v>1</v>
      </c>
      <c r="D31" s="4">
        <v>12</v>
      </c>
      <c r="E31" s="4">
        <v>8.0</v>
      </c>
      <c r="F31" s="4">
        <v>1.0</v>
      </c>
      <c r="G31" s="4">
        <v>3.0</v>
      </c>
      <c r="H31" s="4">
        <v>0.0</v>
      </c>
      <c r="I31" s="4">
        <v>0.0</v>
      </c>
      <c r="K31" s="10" t="s">
        <v>50</v>
      </c>
      <c r="L31" s="10"/>
      <c r="M31" s="28" t="s">
        <v>75</v>
      </c>
      <c r="N31" s="28" t="s">
        <v>165</v>
      </c>
      <c r="O31" s="25">
        <f>ROUNDDOWN(-(78450.00),0)</f>
        <v>-78450</v>
      </c>
      <c r="P31" s="10"/>
      <c r="Q31" s="10"/>
    </row>
    <row r="32" spans="1:19">
      <c r="A32" s="6">
        <v>9</v>
      </c>
      <c r="B32" s="4">
        <v>9</v>
      </c>
      <c r="C32" s="4">
        <v>1</v>
      </c>
      <c r="D32" s="4">
        <v>12</v>
      </c>
      <c r="E32" s="4">
        <v>8.0</v>
      </c>
      <c r="F32" s="4">
        <v>1.0</v>
      </c>
      <c r="G32" s="4">
        <v>3.0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>
        <v>1</v>
      </c>
      <c r="C33" s="4">
        <v>1</v>
      </c>
      <c r="D33" s="4">
        <v>12</v>
      </c>
      <c r="E33" s="4">
        <v>8.0</v>
      </c>
      <c r="F33" s="4">
        <v>1.0</v>
      </c>
      <c r="G33" s="4">
        <v>3.0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>
        <v>2</v>
      </c>
      <c r="C34" s="4">
        <v>1</v>
      </c>
      <c r="D34" s="4">
        <v>12</v>
      </c>
      <c r="E34" s="4">
        <v>8.0</v>
      </c>
      <c r="F34" s="4">
        <v>1.0</v>
      </c>
      <c r="G34" s="4">
        <v>3.0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>
        <v>3</v>
      </c>
      <c r="C35" s="4">
        <v>1</v>
      </c>
      <c r="D35" s="4">
        <v>12</v>
      </c>
      <c r="E35" s="4">
        <v>8.0</v>
      </c>
      <c r="F35" s="4">
        <v>1.0</v>
      </c>
      <c r="G35" s="4">
        <v>3.0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>
        <v>4</v>
      </c>
      <c r="C36" s="4">
        <v>1</v>
      </c>
      <c r="D36" s="4">
        <v>12</v>
      </c>
      <c r="E36" s="4">
        <v>8.0</v>
      </c>
      <c r="F36" s="4">
        <v>1.0</v>
      </c>
      <c r="G36" s="4">
        <v>3.0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>
        <v>5</v>
      </c>
      <c r="C37" s="4">
        <v>1</v>
      </c>
      <c r="D37" s="4">
        <v>12</v>
      </c>
      <c r="E37" s="4">
        <v>8.0</v>
      </c>
      <c r="F37" s="4">
        <v>1.0</v>
      </c>
      <c r="G37" s="4">
        <v>3.0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7426502.0</v>
      </c>
      <c r="P37" s="10"/>
      <c r="Q37" s="10"/>
    </row>
    <row r="38" spans="1:19">
      <c r="A38" s="6">
        <v>15</v>
      </c>
      <c r="B38" s="4" t="s">
        <v>39</v>
      </c>
      <c r="C38" s="4">
        <v>0</v>
      </c>
      <c r="D38" s="4">
        <v>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23</v>
      </c>
      <c r="D39" s="9">
        <v>276</v>
      </c>
      <c r="E39" s="9">
        <v>184.0</v>
      </c>
      <c r="F39" s="9">
        <v>23.0</v>
      </c>
      <c r="G39" s="9">
        <v>69.0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92.0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-2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7426500.0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219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222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223</v>
      </c>
      <c r="N4" s="10" t="s">
        <v>5</v>
      </c>
      <c r="O4" s="10">
        <v>251100054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68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19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224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>
        <v>1</v>
      </c>
      <c r="C9" s="4">
        <v>1</v>
      </c>
      <c r="D9" s="4">
        <v>12</v>
      </c>
      <c r="E9" s="4">
        <v>8.0</v>
      </c>
      <c r="F9" s="4">
        <v>1.0</v>
      </c>
      <c r="G9" s="4">
        <v>3.0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1524186.0</v>
      </c>
      <c r="P9" s="10"/>
      <c r="Q9" s="10"/>
    </row>
    <row r="10" spans="1:19">
      <c r="A10" s="6">
        <v>17</v>
      </c>
      <c r="B10" s="4">
        <v>2</v>
      </c>
      <c r="C10" s="4">
        <v>1</v>
      </c>
      <c r="D10" s="4">
        <v>12</v>
      </c>
      <c r="E10" s="4">
        <v>8.0</v>
      </c>
      <c r="F10" s="4">
        <v>1.0</v>
      </c>
      <c r="G10" s="4">
        <v>3.0</v>
      </c>
      <c r="H10" s="4">
        <v>0.0</v>
      </c>
      <c r="I10" s="4">
        <v>0.0</v>
      </c>
      <c r="K10" s="10" t="s">
        <v>27</v>
      </c>
      <c r="L10" s="10"/>
      <c r="M10" s="25" t="s">
        <v>149</v>
      </c>
      <c r="N10" s="25">
        <v>264309.79</v>
      </c>
      <c r="O10" s="25"/>
      <c r="P10" s="10"/>
      <c r="Q10" s="10"/>
    </row>
    <row r="11" spans="1:19">
      <c r="A11" s="6">
        <v>18</v>
      </c>
      <c r="B11" s="4">
        <v>3</v>
      </c>
      <c r="C11" s="4">
        <v>1</v>
      </c>
      <c r="D11" s="4">
        <v>12</v>
      </c>
      <c r="E11" s="4">
        <v>8.0</v>
      </c>
      <c r="F11" s="4">
        <v>1.0</v>
      </c>
      <c r="G11" s="4">
        <v>3.0</v>
      </c>
      <c r="H11" s="4">
        <v>0.0</v>
      </c>
      <c r="I11" s="4">
        <v>0.0</v>
      </c>
      <c r="K11" s="10" t="s">
        <v>29</v>
      </c>
      <c r="L11" s="10"/>
      <c r="M11" s="25" t="s">
        <v>150</v>
      </c>
      <c r="N11" s="25">
        <v>1057239.16</v>
      </c>
      <c r="O11" s="25"/>
      <c r="P11" s="10"/>
      <c r="Q11" s="10"/>
    </row>
    <row r="12" spans="1:19">
      <c r="A12" s="6">
        <v>19</v>
      </c>
      <c r="B12" s="4">
        <v>4</v>
      </c>
      <c r="C12" s="4">
        <v>1</v>
      </c>
      <c r="D12" s="4">
        <v>12</v>
      </c>
      <c r="E12" s="4">
        <v>8.0</v>
      </c>
      <c r="F12" s="4">
        <v>1.0</v>
      </c>
      <c r="G12" s="4">
        <v>3.0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>
        <v>5</v>
      </c>
      <c r="C13" s="4">
        <v>1</v>
      </c>
      <c r="D13" s="4">
        <v>12</v>
      </c>
      <c r="E13" s="4">
        <v>8.0</v>
      </c>
      <c r="F13" s="4">
        <v>1.0</v>
      </c>
      <c r="G13" s="4">
        <v>3.0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>
        <v>6</v>
      </c>
      <c r="C14" s="4">
        <v>1</v>
      </c>
      <c r="D14" s="4">
        <v>12</v>
      </c>
      <c r="E14" s="4">
        <v>8.0</v>
      </c>
      <c r="F14" s="4">
        <v>1.0</v>
      </c>
      <c r="G14" s="4">
        <v>3.0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1321549.0</v>
      </c>
      <c r="P14" s="10"/>
      <c r="Q14" s="10"/>
    </row>
    <row r="15" spans="1:19">
      <c r="A15" s="6">
        <v>22</v>
      </c>
      <c r="B15" s="4">
        <v>7</v>
      </c>
      <c r="C15" s="4">
        <v>1</v>
      </c>
      <c r="D15" s="4">
        <v>12</v>
      </c>
      <c r="E15" s="4">
        <v>8.0</v>
      </c>
      <c r="F15" s="4">
        <v>1.0</v>
      </c>
      <c r="G15" s="4">
        <v>3.0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>
        <v>8</v>
      </c>
      <c r="C16" s="4">
        <v>1</v>
      </c>
      <c r="D16" s="4">
        <v>12</v>
      </c>
      <c r="E16" s="4">
        <v>8.0</v>
      </c>
      <c r="F16" s="4">
        <v>1.0</v>
      </c>
      <c r="G16" s="4">
        <v>3.0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>
        <v>9</v>
      </c>
      <c r="C17" s="4">
        <v>1</v>
      </c>
      <c r="D17" s="4">
        <v>12</v>
      </c>
      <c r="E17" s="4">
        <v>8.0</v>
      </c>
      <c r="F17" s="4">
        <v>1.0</v>
      </c>
      <c r="G17" s="4">
        <v>3.0</v>
      </c>
      <c r="H17" s="4">
        <v>0.0</v>
      </c>
      <c r="I17" s="4">
        <v>0.0</v>
      </c>
      <c r="K17" s="10" t="s">
        <v>36</v>
      </c>
      <c r="L17" s="10"/>
      <c r="M17" s="27" t="s">
        <v>151</v>
      </c>
      <c r="N17" s="25">
        <v>54000</v>
      </c>
      <c r="O17" s="25"/>
      <c r="P17" s="10"/>
      <c r="Q17" s="10"/>
    </row>
    <row r="18" spans="1:19">
      <c r="A18" s="6">
        <v>25</v>
      </c>
      <c r="B18" s="4" t="s">
        <v>39</v>
      </c>
      <c r="C18" s="4">
        <v>0</v>
      </c>
      <c r="D18" s="4">
        <v>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K18" s="10" t="s">
        <v>38</v>
      </c>
      <c r="L18" s="10"/>
      <c r="M18" s="27" t="s">
        <v>151</v>
      </c>
      <c r="N18" s="25">
        <v>90000</v>
      </c>
      <c r="O18" s="25"/>
      <c r="P18" s="10"/>
      <c r="Q18" s="10"/>
    </row>
    <row r="19" spans="1:19">
      <c r="A19" s="6">
        <v>26</v>
      </c>
      <c r="B19" s="4" t="s">
        <v>39</v>
      </c>
      <c r="C19" s="4">
        <v>0</v>
      </c>
      <c r="D19" s="4">
        <v>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K19" s="10" t="s">
        <v>40</v>
      </c>
      <c r="L19" s="10"/>
      <c r="M19" s="27" t="s">
        <v>80</v>
      </c>
      <c r="N19" s="25">
        <v>0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 t="s">
        <v>39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 t="s">
        <v>39</v>
      </c>
      <c r="C22" s="4">
        <v>0</v>
      </c>
      <c r="D22" s="4">
        <v>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144000</v>
      </c>
      <c r="P22" s="10"/>
      <c r="Q22" s="10"/>
    </row>
    <row r="23" spans="1:19">
      <c r="A23" s="6">
        <v>30</v>
      </c>
      <c r="B23" s="4" t="s">
        <v>39</v>
      </c>
      <c r="C23" s="4">
        <v>0</v>
      </c>
      <c r="D23" s="4">
        <v>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 t="s">
        <v>39</v>
      </c>
      <c r="C24" s="4">
        <v>0</v>
      </c>
      <c r="D24" s="4">
        <v>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 t="s">
        <v>39</v>
      </c>
      <c r="C25" s="4">
        <v>0</v>
      </c>
      <c r="D25" s="4">
        <v>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 t="s">
        <v>39</v>
      </c>
      <c r="C26" s="4">
        <v>0</v>
      </c>
      <c r="D26" s="4">
        <v>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 t="s">
        <v>39</v>
      </c>
      <c r="C27" s="4">
        <v>0</v>
      </c>
      <c r="D27" s="4">
        <v>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 t="s">
        <v>39</v>
      </c>
      <c r="C28" s="4">
        <v>0</v>
      </c>
      <c r="D28" s="4">
        <v>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 t="s">
        <v>39</v>
      </c>
      <c r="C29" s="4">
        <v>0</v>
      </c>
      <c r="D29" s="4">
        <v>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3194315.09</v>
      </c>
      <c r="P29" s="10"/>
      <c r="Q29" s="10"/>
    </row>
    <row r="30" spans="1:19">
      <c r="A30" s="6">
        <v>7</v>
      </c>
      <c r="B30" s="4" t="s">
        <v>39</v>
      </c>
      <c r="C30" s="4">
        <v>0</v>
      </c>
      <c r="D30" s="4">
        <v>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51</v>
      </c>
      <c r="N31" s="28" t="s">
        <v>52</v>
      </c>
      <c r="O31" s="25">
        <f>ROUNDDOWN(-(0.00),0)</f>
        <v>0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39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 t="s">
        <v>39</v>
      </c>
      <c r="C37" s="4">
        <v>0</v>
      </c>
      <c r="D37" s="4">
        <v>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2854252.0</v>
      </c>
      <c r="P37" s="10"/>
      <c r="Q37" s="10"/>
    </row>
    <row r="38" spans="1:19">
      <c r="A38" s="6">
        <v>15</v>
      </c>
      <c r="B38" s="4" t="s">
        <v>39</v>
      </c>
      <c r="C38" s="4">
        <v>0</v>
      </c>
      <c r="D38" s="4">
        <v>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9</v>
      </c>
      <c r="D39" s="9">
        <v>108</v>
      </c>
      <c r="E39" s="9">
        <v>72.0</v>
      </c>
      <c r="F39" s="9">
        <v>9.0</v>
      </c>
      <c r="G39" s="9">
        <v>27.0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36.0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48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2854300.0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223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225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226</v>
      </c>
      <c r="N4" s="10" t="s">
        <v>5</v>
      </c>
      <c r="O4" s="10">
        <v>251100087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8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78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157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>
        <v>1</v>
      </c>
      <c r="C9" s="4">
        <v>1</v>
      </c>
      <c r="D9" s="4">
        <v>12</v>
      </c>
      <c r="E9" s="4">
        <v>8.0</v>
      </c>
      <c r="F9" s="4">
        <v>1.0</v>
      </c>
      <c r="G9" s="4">
        <v>3.0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1693541.0</v>
      </c>
      <c r="P9" s="10"/>
      <c r="Q9" s="10"/>
    </row>
    <row r="10" spans="1:19">
      <c r="A10" s="6">
        <v>17</v>
      </c>
      <c r="B10" s="4">
        <v>2</v>
      </c>
      <c r="C10" s="4">
        <v>1</v>
      </c>
      <c r="D10" s="4">
        <v>12</v>
      </c>
      <c r="E10" s="4">
        <v>8.0</v>
      </c>
      <c r="F10" s="4">
        <v>1.0</v>
      </c>
      <c r="G10" s="4">
        <v>3.0</v>
      </c>
      <c r="H10" s="4">
        <v>0.0</v>
      </c>
      <c r="I10" s="4">
        <v>0.0</v>
      </c>
      <c r="K10" s="10" t="s">
        <v>27</v>
      </c>
      <c r="L10" s="10"/>
      <c r="M10" s="25" t="s">
        <v>28</v>
      </c>
      <c r="N10" s="25">
        <v>293677.54</v>
      </c>
      <c r="O10" s="25"/>
      <c r="P10" s="10"/>
      <c r="Q10" s="10"/>
    </row>
    <row r="11" spans="1:19">
      <c r="A11" s="6">
        <v>18</v>
      </c>
      <c r="B11" s="4">
        <v>3</v>
      </c>
      <c r="C11" s="4">
        <v>1</v>
      </c>
      <c r="D11" s="4">
        <v>12</v>
      </c>
      <c r="E11" s="4">
        <v>8.0</v>
      </c>
      <c r="F11" s="4">
        <v>1.0</v>
      </c>
      <c r="G11" s="4">
        <v>3.0</v>
      </c>
      <c r="H11" s="4">
        <v>0.0</v>
      </c>
      <c r="I11" s="4">
        <v>0.0</v>
      </c>
      <c r="K11" s="10" t="s">
        <v>29</v>
      </c>
      <c r="L11" s="10"/>
      <c r="M11" s="25" t="s">
        <v>30</v>
      </c>
      <c r="N11" s="25">
        <v>1174710.17</v>
      </c>
      <c r="O11" s="25"/>
      <c r="P11" s="10"/>
      <c r="Q11" s="10"/>
    </row>
    <row r="12" spans="1:19">
      <c r="A12" s="6">
        <v>19</v>
      </c>
      <c r="B12" s="4">
        <v>4</v>
      </c>
      <c r="C12" s="4">
        <v>1</v>
      </c>
      <c r="D12" s="4">
        <v>12</v>
      </c>
      <c r="E12" s="4">
        <v>8.0</v>
      </c>
      <c r="F12" s="4">
        <v>1.0</v>
      </c>
      <c r="G12" s="4">
        <v>3.0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>
        <v>5</v>
      </c>
      <c r="C13" s="4">
        <v>1</v>
      </c>
      <c r="D13" s="4">
        <v>12</v>
      </c>
      <c r="E13" s="4">
        <v>8.0</v>
      </c>
      <c r="F13" s="4">
        <v>1.0</v>
      </c>
      <c r="G13" s="4">
        <v>3.0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>
        <v>6</v>
      </c>
      <c r="C14" s="4">
        <v>1</v>
      </c>
      <c r="D14" s="4">
        <v>12</v>
      </c>
      <c r="E14" s="4">
        <v>8.0</v>
      </c>
      <c r="F14" s="4">
        <v>1.0</v>
      </c>
      <c r="G14" s="4">
        <v>3.0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1468388.0</v>
      </c>
      <c r="P14" s="10"/>
      <c r="Q14" s="10"/>
    </row>
    <row r="15" spans="1:19">
      <c r="A15" s="6">
        <v>22</v>
      </c>
      <c r="B15" s="4">
        <v>7</v>
      </c>
      <c r="C15" s="4">
        <v>1</v>
      </c>
      <c r="D15" s="4">
        <v>12</v>
      </c>
      <c r="E15" s="4">
        <v>8.0</v>
      </c>
      <c r="F15" s="4">
        <v>1.0</v>
      </c>
      <c r="G15" s="4">
        <v>3.0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>
        <v>8</v>
      </c>
      <c r="C16" s="4">
        <v>1</v>
      </c>
      <c r="D16" s="4">
        <v>12</v>
      </c>
      <c r="E16" s="4">
        <v>8.0</v>
      </c>
      <c r="F16" s="4">
        <v>1.0</v>
      </c>
      <c r="G16" s="4">
        <v>3.0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>
        <v>9</v>
      </c>
      <c r="C17" s="4">
        <v>1</v>
      </c>
      <c r="D17" s="4">
        <v>12</v>
      </c>
      <c r="E17" s="4">
        <v>8.0</v>
      </c>
      <c r="F17" s="4">
        <v>1.0</v>
      </c>
      <c r="G17" s="4">
        <v>3.0</v>
      </c>
      <c r="H17" s="4">
        <v>0.0</v>
      </c>
      <c r="I17" s="4">
        <v>0.0</v>
      </c>
      <c r="K17" s="10" t="s">
        <v>36</v>
      </c>
      <c r="L17" s="10"/>
      <c r="M17" s="27" t="s">
        <v>37</v>
      </c>
      <c r="N17" s="25">
        <v>60000</v>
      </c>
      <c r="O17" s="25"/>
      <c r="P17" s="10"/>
      <c r="Q17" s="10"/>
    </row>
    <row r="18" spans="1:19">
      <c r="A18" s="6">
        <v>25</v>
      </c>
      <c r="B18" s="4">
        <v>1</v>
      </c>
      <c r="C18" s="4">
        <v>1</v>
      </c>
      <c r="D18" s="4">
        <v>12</v>
      </c>
      <c r="E18" s="4">
        <v>8.0</v>
      </c>
      <c r="F18" s="4">
        <v>1.0</v>
      </c>
      <c r="G18" s="4">
        <v>3.0</v>
      </c>
      <c r="H18" s="4">
        <v>0.0</v>
      </c>
      <c r="I18" s="4">
        <v>0.0</v>
      </c>
      <c r="K18" s="10" t="s">
        <v>38</v>
      </c>
      <c r="L18" s="10"/>
      <c r="M18" s="27" t="s">
        <v>37</v>
      </c>
      <c r="N18" s="25">
        <v>100000</v>
      </c>
      <c r="O18" s="25"/>
      <c r="P18" s="10"/>
      <c r="Q18" s="10"/>
    </row>
    <row r="19" spans="1:19">
      <c r="A19" s="6">
        <v>26</v>
      </c>
      <c r="B19" s="4" t="s">
        <v>39</v>
      </c>
      <c r="C19" s="4">
        <v>0</v>
      </c>
      <c r="D19" s="4">
        <v>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K19" s="10" t="s">
        <v>40</v>
      </c>
      <c r="L19" s="10"/>
      <c r="M19" s="27" t="s">
        <v>80</v>
      </c>
      <c r="N19" s="25">
        <v>0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 t="s">
        <v>39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 t="s">
        <v>39</v>
      </c>
      <c r="C22" s="4">
        <v>0</v>
      </c>
      <c r="D22" s="4">
        <v>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160000</v>
      </c>
      <c r="P22" s="10"/>
      <c r="Q22" s="10"/>
    </row>
    <row r="23" spans="1:19">
      <c r="A23" s="6">
        <v>30</v>
      </c>
      <c r="B23" s="4" t="s">
        <v>39</v>
      </c>
      <c r="C23" s="4">
        <v>0</v>
      </c>
      <c r="D23" s="4">
        <v>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 t="s">
        <v>39</v>
      </c>
      <c r="C24" s="4">
        <v>0</v>
      </c>
      <c r="D24" s="4">
        <v>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 t="s">
        <v>39</v>
      </c>
      <c r="C25" s="4">
        <v>0</v>
      </c>
      <c r="D25" s="4">
        <v>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 t="s">
        <v>39</v>
      </c>
      <c r="C26" s="4">
        <v>0</v>
      </c>
      <c r="D26" s="4">
        <v>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 t="s">
        <v>39</v>
      </c>
      <c r="C27" s="4">
        <v>0</v>
      </c>
      <c r="D27" s="4">
        <v>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 t="s">
        <v>39</v>
      </c>
      <c r="C28" s="4">
        <v>0</v>
      </c>
      <c r="D28" s="4">
        <v>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 t="s">
        <v>39</v>
      </c>
      <c r="C29" s="4">
        <v>0</v>
      </c>
      <c r="D29" s="4">
        <v>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3526507.9</v>
      </c>
      <c r="P29" s="10"/>
      <c r="Q29" s="10"/>
    </row>
    <row r="30" spans="1:19">
      <c r="A30" s="6">
        <v>7</v>
      </c>
      <c r="B30" s="4" t="s">
        <v>39</v>
      </c>
      <c r="C30" s="4">
        <v>0</v>
      </c>
      <c r="D30" s="4">
        <v>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51</v>
      </c>
      <c r="N31" s="28" t="s">
        <v>52</v>
      </c>
      <c r="O31" s="25">
        <f>ROUNDDOWN(-(0.00),0)</f>
        <v>0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39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 t="s">
        <v>39</v>
      </c>
      <c r="C37" s="4">
        <v>0</v>
      </c>
      <c r="D37" s="4">
        <v>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3186445.0</v>
      </c>
      <c r="P37" s="10"/>
      <c r="Q37" s="10"/>
    </row>
    <row r="38" spans="1:19">
      <c r="A38" s="6">
        <v>15</v>
      </c>
      <c r="B38" s="4" t="s">
        <v>39</v>
      </c>
      <c r="C38" s="4">
        <v>0</v>
      </c>
      <c r="D38" s="4">
        <v>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10</v>
      </c>
      <c r="D39" s="9">
        <v>120</v>
      </c>
      <c r="E39" s="9">
        <v>80.0</v>
      </c>
      <c r="F39" s="9">
        <v>10.0</v>
      </c>
      <c r="G39" s="9">
        <v>30.0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40.0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-45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3186400.0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226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227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228</v>
      </c>
      <c r="N4" s="10" t="s">
        <v>5</v>
      </c>
      <c r="O4" s="10">
        <v>251100076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110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19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229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>
        <v>1</v>
      </c>
      <c r="C9" s="4">
        <v>1</v>
      </c>
      <c r="D9" s="4">
        <v>12</v>
      </c>
      <c r="E9" s="4">
        <v>8.0</v>
      </c>
      <c r="F9" s="4">
        <v>1.0</v>
      </c>
      <c r="G9" s="4">
        <v>3.0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3217727.0</v>
      </c>
      <c r="P9" s="10"/>
      <c r="Q9" s="10"/>
    </row>
    <row r="10" spans="1:19">
      <c r="A10" s="6">
        <v>17</v>
      </c>
      <c r="B10" s="4">
        <v>2</v>
      </c>
      <c r="C10" s="4">
        <v>1</v>
      </c>
      <c r="D10" s="4">
        <v>12</v>
      </c>
      <c r="E10" s="4">
        <v>8.0</v>
      </c>
      <c r="F10" s="4">
        <v>1.0</v>
      </c>
      <c r="G10" s="4">
        <v>3.0</v>
      </c>
      <c r="H10" s="4">
        <v>0.0</v>
      </c>
      <c r="I10" s="4">
        <v>0.0</v>
      </c>
      <c r="K10" s="10" t="s">
        <v>27</v>
      </c>
      <c r="L10" s="10"/>
      <c r="M10" s="25" t="s">
        <v>230</v>
      </c>
      <c r="N10" s="25">
        <v>557987.33</v>
      </c>
      <c r="O10" s="25"/>
      <c r="P10" s="10"/>
      <c r="Q10" s="10"/>
    </row>
    <row r="11" spans="1:19">
      <c r="A11" s="6">
        <v>18</v>
      </c>
      <c r="B11" s="4">
        <v>3</v>
      </c>
      <c r="C11" s="4">
        <v>1</v>
      </c>
      <c r="D11" s="4">
        <v>12</v>
      </c>
      <c r="E11" s="4">
        <v>8.0</v>
      </c>
      <c r="F11" s="4">
        <v>1.0</v>
      </c>
      <c r="G11" s="4">
        <v>3.0</v>
      </c>
      <c r="H11" s="4">
        <v>0.0</v>
      </c>
      <c r="I11" s="4">
        <v>0.0</v>
      </c>
      <c r="K11" s="10" t="s">
        <v>29</v>
      </c>
      <c r="L11" s="10"/>
      <c r="M11" s="25" t="s">
        <v>231</v>
      </c>
      <c r="N11" s="25">
        <v>2231949.33</v>
      </c>
      <c r="O11" s="25"/>
      <c r="P11" s="10"/>
      <c r="Q11" s="10"/>
    </row>
    <row r="12" spans="1:19">
      <c r="A12" s="6">
        <v>19</v>
      </c>
      <c r="B12" s="4">
        <v>4</v>
      </c>
      <c r="C12" s="4">
        <v>1</v>
      </c>
      <c r="D12" s="4">
        <v>12</v>
      </c>
      <c r="E12" s="4">
        <v>8.0</v>
      </c>
      <c r="F12" s="4">
        <v>1.0</v>
      </c>
      <c r="G12" s="4">
        <v>3.0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>
        <v>5</v>
      </c>
      <c r="C13" s="4">
        <v>1</v>
      </c>
      <c r="D13" s="4">
        <v>12</v>
      </c>
      <c r="E13" s="4">
        <v>8.0</v>
      </c>
      <c r="F13" s="4">
        <v>1.0</v>
      </c>
      <c r="G13" s="4">
        <v>3.0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>
        <v>6</v>
      </c>
      <c r="C14" s="4">
        <v>1</v>
      </c>
      <c r="D14" s="4">
        <v>12</v>
      </c>
      <c r="E14" s="4">
        <v>8.0</v>
      </c>
      <c r="F14" s="4">
        <v>1.0</v>
      </c>
      <c r="G14" s="4">
        <v>3.0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2789937.0</v>
      </c>
      <c r="P14" s="10"/>
      <c r="Q14" s="10"/>
    </row>
    <row r="15" spans="1:19">
      <c r="A15" s="6">
        <v>22</v>
      </c>
      <c r="B15" s="4">
        <v>7</v>
      </c>
      <c r="C15" s="4">
        <v>1</v>
      </c>
      <c r="D15" s="4">
        <v>12</v>
      </c>
      <c r="E15" s="4">
        <v>8.0</v>
      </c>
      <c r="F15" s="4">
        <v>1.0</v>
      </c>
      <c r="G15" s="4">
        <v>3.0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>
        <v>8</v>
      </c>
      <c r="C16" s="4">
        <v>1</v>
      </c>
      <c r="D16" s="4">
        <v>12</v>
      </c>
      <c r="E16" s="4">
        <v>8.0</v>
      </c>
      <c r="F16" s="4">
        <v>1.0</v>
      </c>
      <c r="G16" s="4">
        <v>3.0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>
        <v>9</v>
      </c>
      <c r="C17" s="4">
        <v>1</v>
      </c>
      <c r="D17" s="4">
        <v>12</v>
      </c>
      <c r="E17" s="4">
        <v>8.0</v>
      </c>
      <c r="F17" s="4">
        <v>1.0</v>
      </c>
      <c r="G17" s="4">
        <v>3.0</v>
      </c>
      <c r="H17" s="4">
        <v>0.0</v>
      </c>
      <c r="I17" s="4">
        <v>0.0</v>
      </c>
      <c r="K17" s="10" t="s">
        <v>36</v>
      </c>
      <c r="L17" s="10"/>
      <c r="M17" s="27" t="s">
        <v>211</v>
      </c>
      <c r="N17" s="25">
        <v>114000</v>
      </c>
      <c r="O17" s="25"/>
      <c r="P17" s="10"/>
      <c r="Q17" s="10"/>
    </row>
    <row r="18" spans="1:19">
      <c r="A18" s="6">
        <v>25</v>
      </c>
      <c r="B18" s="4">
        <v>1</v>
      </c>
      <c r="C18" s="4">
        <v>1</v>
      </c>
      <c r="D18" s="4">
        <v>12</v>
      </c>
      <c r="E18" s="4">
        <v>8.0</v>
      </c>
      <c r="F18" s="4">
        <v>1.0</v>
      </c>
      <c r="G18" s="4">
        <v>3.0</v>
      </c>
      <c r="H18" s="4">
        <v>0.0</v>
      </c>
      <c r="I18" s="4">
        <v>0.0</v>
      </c>
      <c r="K18" s="10" t="s">
        <v>38</v>
      </c>
      <c r="L18" s="10"/>
      <c r="M18" s="27" t="s">
        <v>211</v>
      </c>
      <c r="N18" s="25">
        <v>190000</v>
      </c>
      <c r="O18" s="25"/>
      <c r="P18" s="10"/>
      <c r="Q18" s="10"/>
    </row>
    <row r="19" spans="1:19">
      <c r="A19" s="6">
        <v>26</v>
      </c>
      <c r="B19" s="4">
        <v>2</v>
      </c>
      <c r="C19" s="4">
        <v>1</v>
      </c>
      <c r="D19" s="4">
        <v>12</v>
      </c>
      <c r="E19" s="4">
        <v>8.0</v>
      </c>
      <c r="F19" s="4">
        <v>1.0</v>
      </c>
      <c r="G19" s="4">
        <v>3.0</v>
      </c>
      <c r="H19" s="4">
        <v>0.0</v>
      </c>
      <c r="I19" s="4">
        <v>0.0</v>
      </c>
      <c r="K19" s="10" t="s">
        <v>40</v>
      </c>
      <c r="L19" s="10"/>
      <c r="M19" s="27" t="s">
        <v>80</v>
      </c>
      <c r="N19" s="25">
        <v>0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 t="s">
        <v>39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 t="s">
        <v>39</v>
      </c>
      <c r="C22" s="4">
        <v>0</v>
      </c>
      <c r="D22" s="4">
        <v>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304000</v>
      </c>
      <c r="P22" s="10"/>
      <c r="Q22" s="10"/>
    </row>
    <row r="23" spans="1:19">
      <c r="A23" s="6">
        <v>30</v>
      </c>
      <c r="B23" s="4">
        <v>1</v>
      </c>
      <c r="C23" s="4">
        <v>1</v>
      </c>
      <c r="D23" s="4">
        <v>12</v>
      </c>
      <c r="E23" s="4">
        <v>8.0</v>
      </c>
      <c r="F23" s="4">
        <v>1.0</v>
      </c>
      <c r="G23" s="4">
        <v>3.0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>
        <v>2</v>
      </c>
      <c r="C24" s="4">
        <v>1</v>
      </c>
      <c r="D24" s="4">
        <v>12</v>
      </c>
      <c r="E24" s="4">
        <v>8.0</v>
      </c>
      <c r="F24" s="4">
        <v>1.0</v>
      </c>
      <c r="G24" s="4">
        <v>3.0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>
        <v>3</v>
      </c>
      <c r="C25" s="4">
        <v>1</v>
      </c>
      <c r="D25" s="4">
        <v>12</v>
      </c>
      <c r="E25" s="4">
        <v>8.0</v>
      </c>
      <c r="F25" s="4">
        <v>1.0</v>
      </c>
      <c r="G25" s="4">
        <v>3.0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>
        <v>4</v>
      </c>
      <c r="C26" s="4">
        <v>1</v>
      </c>
      <c r="D26" s="4">
        <v>12</v>
      </c>
      <c r="E26" s="4">
        <v>8.0</v>
      </c>
      <c r="F26" s="4">
        <v>1.0</v>
      </c>
      <c r="G26" s="4">
        <v>3.0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>
        <v>5</v>
      </c>
      <c r="C27" s="4">
        <v>1</v>
      </c>
      <c r="D27" s="4">
        <v>12</v>
      </c>
      <c r="E27" s="4">
        <v>8.0</v>
      </c>
      <c r="F27" s="4">
        <v>1.0</v>
      </c>
      <c r="G27" s="4">
        <v>3.0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>
        <v>6</v>
      </c>
      <c r="C28" s="4">
        <v>1</v>
      </c>
      <c r="D28" s="4">
        <v>12</v>
      </c>
      <c r="E28" s="4">
        <v>8.0</v>
      </c>
      <c r="F28" s="4">
        <v>1.0</v>
      </c>
      <c r="G28" s="4">
        <v>3.0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>
        <v>7</v>
      </c>
      <c r="C29" s="4">
        <v>1</v>
      </c>
      <c r="D29" s="4">
        <v>12</v>
      </c>
      <c r="E29" s="4">
        <v>8.0</v>
      </c>
      <c r="F29" s="4">
        <v>1.0</v>
      </c>
      <c r="G29" s="4">
        <v>3.0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6516243.3</v>
      </c>
      <c r="P29" s="10"/>
      <c r="Q29" s="10"/>
    </row>
    <row r="30" spans="1:19">
      <c r="A30" s="6">
        <v>7</v>
      </c>
      <c r="B30" s="4">
        <v>8</v>
      </c>
      <c r="C30" s="4">
        <v>1</v>
      </c>
      <c r="D30" s="4">
        <v>12</v>
      </c>
      <c r="E30" s="4">
        <v>8.0</v>
      </c>
      <c r="F30" s="4">
        <v>1.0</v>
      </c>
      <c r="G30" s="4">
        <v>3.0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51</v>
      </c>
      <c r="N31" s="28" t="s">
        <v>165</v>
      </c>
      <c r="O31" s="25">
        <f>ROUNDDOWN(-(65162.00),0)</f>
        <v>-65162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39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 t="s">
        <v>39</v>
      </c>
      <c r="C37" s="4">
        <v>0</v>
      </c>
      <c r="D37" s="4">
        <v>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6111018.0</v>
      </c>
      <c r="P37" s="10"/>
      <c r="Q37" s="10"/>
    </row>
    <row r="38" spans="1:19">
      <c r="A38" s="6">
        <v>15</v>
      </c>
      <c r="B38" s="4" t="s">
        <v>39</v>
      </c>
      <c r="C38" s="4">
        <v>0</v>
      </c>
      <c r="D38" s="4">
        <v>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19</v>
      </c>
      <c r="D39" s="9">
        <v>228</v>
      </c>
      <c r="E39" s="9">
        <v>152.0</v>
      </c>
      <c r="F39" s="9">
        <v>19.0</v>
      </c>
      <c r="G39" s="9">
        <v>57.0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76.0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-18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6111000.0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228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232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233</v>
      </c>
      <c r="N4" s="10" t="s">
        <v>5</v>
      </c>
      <c r="O4" s="10">
        <v>251100038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68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78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234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>
        <v>1</v>
      </c>
      <c r="C9" s="4">
        <v>1</v>
      </c>
      <c r="D9" s="4">
        <v>12</v>
      </c>
      <c r="E9" s="4">
        <v>8.0</v>
      </c>
      <c r="F9" s="4">
        <v>1.0</v>
      </c>
      <c r="G9" s="4">
        <v>3.0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3048373.0</v>
      </c>
      <c r="P9" s="10"/>
      <c r="Q9" s="10"/>
    </row>
    <row r="10" spans="1:19">
      <c r="A10" s="6">
        <v>17</v>
      </c>
      <c r="B10" s="4">
        <v>2</v>
      </c>
      <c r="C10" s="4">
        <v>1</v>
      </c>
      <c r="D10" s="4">
        <v>12</v>
      </c>
      <c r="E10" s="4">
        <v>8.0</v>
      </c>
      <c r="F10" s="4">
        <v>1.0</v>
      </c>
      <c r="G10" s="4">
        <v>3.0</v>
      </c>
      <c r="H10" s="4">
        <v>0.0</v>
      </c>
      <c r="I10" s="4">
        <v>0.0</v>
      </c>
      <c r="K10" s="10" t="s">
        <v>27</v>
      </c>
      <c r="L10" s="10"/>
      <c r="M10" s="25" t="s">
        <v>169</v>
      </c>
      <c r="N10" s="25">
        <v>528619.58</v>
      </c>
      <c r="O10" s="25"/>
      <c r="P10" s="10"/>
      <c r="Q10" s="10"/>
    </row>
    <row r="11" spans="1:19">
      <c r="A11" s="6">
        <v>18</v>
      </c>
      <c r="B11" s="4">
        <v>3</v>
      </c>
      <c r="C11" s="4">
        <v>1</v>
      </c>
      <c r="D11" s="4">
        <v>12</v>
      </c>
      <c r="E11" s="4">
        <v>8.0</v>
      </c>
      <c r="F11" s="4">
        <v>1.0</v>
      </c>
      <c r="G11" s="4">
        <v>3.0</v>
      </c>
      <c r="H11" s="4">
        <v>0.0</v>
      </c>
      <c r="I11" s="4">
        <v>0.0</v>
      </c>
      <c r="K11" s="10" t="s">
        <v>29</v>
      </c>
      <c r="L11" s="10"/>
      <c r="M11" s="25" t="s">
        <v>170</v>
      </c>
      <c r="N11" s="25">
        <v>2114478.31</v>
      </c>
      <c r="O11" s="25"/>
      <c r="P11" s="10"/>
      <c r="Q11" s="10"/>
    </row>
    <row r="12" spans="1:19">
      <c r="A12" s="6">
        <v>19</v>
      </c>
      <c r="B12" s="4">
        <v>4</v>
      </c>
      <c r="C12" s="4">
        <v>1</v>
      </c>
      <c r="D12" s="4">
        <v>12</v>
      </c>
      <c r="E12" s="4">
        <v>8.0</v>
      </c>
      <c r="F12" s="4">
        <v>1.0</v>
      </c>
      <c r="G12" s="4">
        <v>3.0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>
        <v>5</v>
      </c>
      <c r="C13" s="4">
        <v>1</v>
      </c>
      <c r="D13" s="4">
        <v>12</v>
      </c>
      <c r="E13" s="4">
        <v>8.0</v>
      </c>
      <c r="F13" s="4">
        <v>1.0</v>
      </c>
      <c r="G13" s="4">
        <v>3.0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>
        <v>6</v>
      </c>
      <c r="C14" s="4">
        <v>1</v>
      </c>
      <c r="D14" s="4">
        <v>12</v>
      </c>
      <c r="E14" s="4">
        <v>8.0</v>
      </c>
      <c r="F14" s="4">
        <v>1.0</v>
      </c>
      <c r="G14" s="4">
        <v>3.0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2643098.0</v>
      </c>
      <c r="P14" s="10"/>
      <c r="Q14" s="10"/>
    </row>
    <row r="15" spans="1:19">
      <c r="A15" s="6">
        <v>22</v>
      </c>
      <c r="B15" s="4">
        <v>7</v>
      </c>
      <c r="C15" s="4">
        <v>1</v>
      </c>
      <c r="D15" s="4">
        <v>12</v>
      </c>
      <c r="E15" s="4">
        <v>8.0</v>
      </c>
      <c r="F15" s="4">
        <v>1.0</v>
      </c>
      <c r="G15" s="4">
        <v>3.0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>
        <v>8</v>
      </c>
      <c r="C16" s="4">
        <v>1</v>
      </c>
      <c r="D16" s="4">
        <v>12</v>
      </c>
      <c r="E16" s="4">
        <v>8.0</v>
      </c>
      <c r="F16" s="4">
        <v>1.0</v>
      </c>
      <c r="G16" s="4">
        <v>3.0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 t="s">
        <v>39</v>
      </c>
      <c r="C17" s="4">
        <v>0</v>
      </c>
      <c r="D17" s="4">
        <v>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K17" s="10" t="s">
        <v>36</v>
      </c>
      <c r="L17" s="10"/>
      <c r="M17" s="27" t="s">
        <v>171</v>
      </c>
      <c r="N17" s="25">
        <v>108000</v>
      </c>
      <c r="O17" s="25"/>
      <c r="P17" s="10"/>
      <c r="Q17" s="10"/>
    </row>
    <row r="18" spans="1:19">
      <c r="A18" s="6">
        <v>25</v>
      </c>
      <c r="B18" s="4">
        <v>1</v>
      </c>
      <c r="C18" s="4">
        <v>1</v>
      </c>
      <c r="D18" s="4">
        <v>12</v>
      </c>
      <c r="E18" s="4">
        <v>8.0</v>
      </c>
      <c r="F18" s="4">
        <v>1.0</v>
      </c>
      <c r="G18" s="4">
        <v>3.0</v>
      </c>
      <c r="H18" s="4">
        <v>0.0</v>
      </c>
      <c r="I18" s="4">
        <v>0.0</v>
      </c>
      <c r="K18" s="10" t="s">
        <v>38</v>
      </c>
      <c r="L18" s="10"/>
      <c r="M18" s="27" t="s">
        <v>171</v>
      </c>
      <c r="N18" s="25">
        <v>180000</v>
      </c>
      <c r="O18" s="25"/>
      <c r="P18" s="10"/>
      <c r="Q18" s="10"/>
    </row>
    <row r="19" spans="1:19">
      <c r="A19" s="6">
        <v>26</v>
      </c>
      <c r="B19" s="4">
        <v>2</v>
      </c>
      <c r="C19" s="4">
        <v>1</v>
      </c>
      <c r="D19" s="4">
        <v>12</v>
      </c>
      <c r="E19" s="4">
        <v>8.0</v>
      </c>
      <c r="F19" s="4">
        <v>1.0</v>
      </c>
      <c r="G19" s="4">
        <v>3.0</v>
      </c>
      <c r="H19" s="4">
        <v>0.0</v>
      </c>
      <c r="I19" s="4">
        <v>0.0</v>
      </c>
      <c r="K19" s="10" t="s">
        <v>40</v>
      </c>
      <c r="L19" s="10"/>
      <c r="M19" s="27" t="s">
        <v>80</v>
      </c>
      <c r="N19" s="25">
        <v>0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>
        <v>1</v>
      </c>
      <c r="C21" s="4">
        <v>1</v>
      </c>
      <c r="D21" s="4">
        <v>12</v>
      </c>
      <c r="E21" s="4">
        <v>8.0</v>
      </c>
      <c r="F21" s="4">
        <v>1.0</v>
      </c>
      <c r="G21" s="4">
        <v>3.0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>
        <v>2</v>
      </c>
      <c r="C22" s="4">
        <v>1</v>
      </c>
      <c r="D22" s="4">
        <v>12</v>
      </c>
      <c r="E22" s="4">
        <v>8.0</v>
      </c>
      <c r="F22" s="4">
        <v>1.0</v>
      </c>
      <c r="G22" s="4">
        <v>3.0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288000</v>
      </c>
      <c r="P22" s="10"/>
      <c r="Q22" s="10"/>
    </row>
    <row r="23" spans="1:19">
      <c r="A23" s="6">
        <v>30</v>
      </c>
      <c r="B23" s="4">
        <v>3</v>
      </c>
      <c r="C23" s="4">
        <v>1</v>
      </c>
      <c r="D23" s="4">
        <v>12</v>
      </c>
      <c r="E23" s="4">
        <v>8.0</v>
      </c>
      <c r="F23" s="4">
        <v>1.0</v>
      </c>
      <c r="G23" s="4">
        <v>3.0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 t="s">
        <v>39</v>
      </c>
      <c r="C24" s="4">
        <v>0</v>
      </c>
      <c r="D24" s="4">
        <v>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 t="s">
        <v>39</v>
      </c>
      <c r="C25" s="4">
        <v>0</v>
      </c>
      <c r="D25" s="4">
        <v>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 t="s">
        <v>39</v>
      </c>
      <c r="C26" s="4">
        <v>0</v>
      </c>
      <c r="D26" s="4">
        <v>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 t="s">
        <v>39</v>
      </c>
      <c r="C27" s="4">
        <v>0</v>
      </c>
      <c r="D27" s="4">
        <v>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 t="s">
        <v>39</v>
      </c>
      <c r="C28" s="4">
        <v>0</v>
      </c>
      <c r="D28" s="4">
        <v>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 t="s">
        <v>39</v>
      </c>
      <c r="C29" s="4">
        <v>0</v>
      </c>
      <c r="D29" s="4">
        <v>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6184050.48</v>
      </c>
      <c r="P29" s="10"/>
      <c r="Q29" s="10"/>
    </row>
    <row r="30" spans="1:19">
      <c r="A30" s="6">
        <v>7</v>
      </c>
      <c r="B30" s="4" t="s">
        <v>39</v>
      </c>
      <c r="C30" s="4">
        <v>0</v>
      </c>
      <c r="D30" s="4">
        <v>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51</v>
      </c>
      <c r="N31" s="28" t="s">
        <v>175</v>
      </c>
      <c r="O31" s="25">
        <f>ROUNDDOWN(-(46380.00),0)</f>
        <v>-46380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>
        <v>1</v>
      </c>
      <c r="C33" s="4">
        <v>1</v>
      </c>
      <c r="D33" s="4">
        <v>12</v>
      </c>
      <c r="E33" s="4">
        <v>8.0</v>
      </c>
      <c r="F33" s="4">
        <v>1.0</v>
      </c>
      <c r="G33" s="4">
        <v>3.0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>
        <v>1</v>
      </c>
      <c r="C35" s="4">
        <v>1</v>
      </c>
      <c r="D35" s="4">
        <v>12</v>
      </c>
      <c r="E35" s="4">
        <v>8.0</v>
      </c>
      <c r="F35" s="4">
        <v>1.0</v>
      </c>
      <c r="G35" s="4">
        <v>3.0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>
        <v>2</v>
      </c>
      <c r="C36" s="4">
        <v>1</v>
      </c>
      <c r="D36" s="4">
        <v>12</v>
      </c>
      <c r="E36" s="4">
        <v>8.0</v>
      </c>
      <c r="F36" s="4">
        <v>1.0</v>
      </c>
      <c r="G36" s="4">
        <v>3.0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>
        <v>3</v>
      </c>
      <c r="C37" s="4">
        <v>1</v>
      </c>
      <c r="D37" s="4">
        <v>12</v>
      </c>
      <c r="E37" s="4">
        <v>8.0</v>
      </c>
      <c r="F37" s="4">
        <v>1.0</v>
      </c>
      <c r="G37" s="4">
        <v>3.0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5797608.0</v>
      </c>
      <c r="P37" s="10"/>
      <c r="Q37" s="10"/>
    </row>
    <row r="38" spans="1:19">
      <c r="A38" s="6">
        <v>15</v>
      </c>
      <c r="B38" s="4">
        <v>4</v>
      </c>
      <c r="C38" s="4">
        <v>1</v>
      </c>
      <c r="D38" s="4">
        <v>12</v>
      </c>
      <c r="E38" s="4">
        <v>8.0</v>
      </c>
      <c r="F38" s="4">
        <v>1.0</v>
      </c>
      <c r="G38" s="4">
        <v>3.0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18</v>
      </c>
      <c r="D39" s="9">
        <v>216</v>
      </c>
      <c r="E39" s="9">
        <v>144.0</v>
      </c>
      <c r="F39" s="9">
        <v>18.0</v>
      </c>
      <c r="G39" s="9">
        <v>54.0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72.0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-8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5797600.0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233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235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236</v>
      </c>
      <c r="N4" s="10" t="s">
        <v>5</v>
      </c>
      <c r="O4" s="10">
        <v>251100069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90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69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237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>
        <v>1</v>
      </c>
      <c r="C9" s="4">
        <v>1</v>
      </c>
      <c r="D9" s="4">
        <v>12</v>
      </c>
      <c r="E9" s="4">
        <v>8.0</v>
      </c>
      <c r="F9" s="4">
        <v>1.0</v>
      </c>
      <c r="G9" s="4">
        <v>3.0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1185478.0</v>
      </c>
      <c r="P9" s="10"/>
      <c r="Q9" s="10"/>
    </row>
    <row r="10" spans="1:19">
      <c r="A10" s="6">
        <v>17</v>
      </c>
      <c r="B10" s="4">
        <v>2</v>
      </c>
      <c r="C10" s="4">
        <v>1</v>
      </c>
      <c r="D10" s="4">
        <v>12</v>
      </c>
      <c r="E10" s="4">
        <v>8.0</v>
      </c>
      <c r="F10" s="4">
        <v>1.0</v>
      </c>
      <c r="G10" s="4">
        <v>3.0</v>
      </c>
      <c r="H10" s="4">
        <v>0.0</v>
      </c>
      <c r="I10" s="4">
        <v>0.0</v>
      </c>
      <c r="K10" s="10" t="s">
        <v>27</v>
      </c>
      <c r="L10" s="10"/>
      <c r="M10" s="25" t="s">
        <v>238</v>
      </c>
      <c r="N10" s="25">
        <v>205574.28</v>
      </c>
      <c r="O10" s="25"/>
      <c r="P10" s="10"/>
      <c r="Q10" s="10"/>
    </row>
    <row r="11" spans="1:19">
      <c r="A11" s="6">
        <v>18</v>
      </c>
      <c r="B11" s="4">
        <v>3</v>
      </c>
      <c r="C11" s="4">
        <v>1</v>
      </c>
      <c r="D11" s="4">
        <v>12</v>
      </c>
      <c r="E11" s="4">
        <v>8.0</v>
      </c>
      <c r="F11" s="4">
        <v>1.0</v>
      </c>
      <c r="G11" s="4">
        <v>3.0</v>
      </c>
      <c r="H11" s="4">
        <v>0.0</v>
      </c>
      <c r="I11" s="4">
        <v>0.0</v>
      </c>
      <c r="K11" s="10" t="s">
        <v>29</v>
      </c>
      <c r="L11" s="10"/>
      <c r="M11" s="25" t="s">
        <v>239</v>
      </c>
      <c r="N11" s="25">
        <v>822297.12</v>
      </c>
      <c r="O11" s="25"/>
      <c r="P11" s="10"/>
      <c r="Q11" s="10"/>
    </row>
    <row r="12" spans="1:19">
      <c r="A12" s="6">
        <v>19</v>
      </c>
      <c r="B12" s="4">
        <v>4</v>
      </c>
      <c r="C12" s="4">
        <v>1</v>
      </c>
      <c r="D12" s="4">
        <v>12</v>
      </c>
      <c r="E12" s="4">
        <v>8.0</v>
      </c>
      <c r="F12" s="4">
        <v>1.0</v>
      </c>
      <c r="G12" s="4">
        <v>3.0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>
        <v>5</v>
      </c>
      <c r="C13" s="4">
        <v>1</v>
      </c>
      <c r="D13" s="4">
        <v>12</v>
      </c>
      <c r="E13" s="4">
        <v>8.0</v>
      </c>
      <c r="F13" s="4">
        <v>1.0</v>
      </c>
      <c r="G13" s="4">
        <v>3.0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>
        <v>6</v>
      </c>
      <c r="C14" s="4">
        <v>1</v>
      </c>
      <c r="D14" s="4">
        <v>12</v>
      </c>
      <c r="E14" s="4">
        <v>8.0</v>
      </c>
      <c r="F14" s="4">
        <v>1.0</v>
      </c>
      <c r="G14" s="4">
        <v>3.0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1027871.0</v>
      </c>
      <c r="P14" s="10"/>
      <c r="Q14" s="10"/>
    </row>
    <row r="15" spans="1:19">
      <c r="A15" s="6">
        <v>22</v>
      </c>
      <c r="B15" s="4">
        <v>7</v>
      </c>
      <c r="C15" s="4">
        <v>1</v>
      </c>
      <c r="D15" s="4">
        <v>12</v>
      </c>
      <c r="E15" s="4">
        <v>8.0</v>
      </c>
      <c r="F15" s="4">
        <v>1.0</v>
      </c>
      <c r="G15" s="4">
        <v>3.0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 t="s">
        <v>39</v>
      </c>
      <c r="C16" s="4">
        <v>0</v>
      </c>
      <c r="D16" s="4">
        <v>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 t="s">
        <v>39</v>
      </c>
      <c r="C17" s="4">
        <v>0</v>
      </c>
      <c r="D17" s="4">
        <v>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K17" s="10" t="s">
        <v>36</v>
      </c>
      <c r="L17" s="10"/>
      <c r="M17" s="27" t="s">
        <v>152</v>
      </c>
      <c r="N17" s="25">
        <v>42000</v>
      </c>
      <c r="O17" s="25"/>
      <c r="P17" s="10"/>
      <c r="Q17" s="10"/>
    </row>
    <row r="18" spans="1:19">
      <c r="A18" s="6">
        <v>25</v>
      </c>
      <c r="B18" s="4" t="s">
        <v>39</v>
      </c>
      <c r="C18" s="4">
        <v>0</v>
      </c>
      <c r="D18" s="4">
        <v>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K18" s="10" t="s">
        <v>38</v>
      </c>
      <c r="L18" s="10"/>
      <c r="M18" s="27" t="s">
        <v>152</v>
      </c>
      <c r="N18" s="25">
        <v>70000</v>
      </c>
      <c r="O18" s="25"/>
      <c r="P18" s="10"/>
      <c r="Q18" s="10"/>
    </row>
    <row r="19" spans="1:19">
      <c r="A19" s="6">
        <v>26</v>
      </c>
      <c r="B19" s="4" t="s">
        <v>39</v>
      </c>
      <c r="C19" s="4">
        <v>0</v>
      </c>
      <c r="D19" s="4">
        <v>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K19" s="10" t="s">
        <v>40</v>
      </c>
      <c r="L19" s="10"/>
      <c r="M19" s="27" t="s">
        <v>80</v>
      </c>
      <c r="N19" s="25">
        <v>0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 t="s">
        <v>39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 t="s">
        <v>39</v>
      </c>
      <c r="C22" s="4">
        <v>0</v>
      </c>
      <c r="D22" s="4">
        <v>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112000</v>
      </c>
      <c r="P22" s="10"/>
      <c r="Q22" s="10"/>
    </row>
    <row r="23" spans="1:19">
      <c r="A23" s="6">
        <v>30</v>
      </c>
      <c r="B23" s="4" t="s">
        <v>39</v>
      </c>
      <c r="C23" s="4">
        <v>0</v>
      </c>
      <c r="D23" s="4">
        <v>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 t="s">
        <v>39</v>
      </c>
      <c r="C24" s="4">
        <v>0</v>
      </c>
      <c r="D24" s="4">
        <v>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 t="s">
        <v>39</v>
      </c>
      <c r="C25" s="4">
        <v>0</v>
      </c>
      <c r="D25" s="4">
        <v>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 t="s">
        <v>39</v>
      </c>
      <c r="C26" s="4">
        <v>0</v>
      </c>
      <c r="D26" s="4">
        <v>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 t="s">
        <v>39</v>
      </c>
      <c r="C27" s="4">
        <v>0</v>
      </c>
      <c r="D27" s="4">
        <v>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 t="s">
        <v>39</v>
      </c>
      <c r="C28" s="4">
        <v>0</v>
      </c>
      <c r="D28" s="4">
        <v>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 t="s">
        <v>39</v>
      </c>
      <c r="C29" s="4">
        <v>0</v>
      </c>
      <c r="D29" s="4">
        <v>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2529929.44</v>
      </c>
      <c r="P29" s="10"/>
      <c r="Q29" s="10"/>
    </row>
    <row r="30" spans="1:19">
      <c r="A30" s="6">
        <v>7</v>
      </c>
      <c r="B30" s="4" t="s">
        <v>39</v>
      </c>
      <c r="C30" s="4">
        <v>0</v>
      </c>
      <c r="D30" s="4">
        <v>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75</v>
      </c>
      <c r="N31" s="28" t="s">
        <v>52</v>
      </c>
      <c r="O31" s="25">
        <f>ROUNDDOWN(-(0.00),0)</f>
        <v>0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39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 t="s">
        <v>39</v>
      </c>
      <c r="C37" s="4">
        <v>0</v>
      </c>
      <c r="D37" s="4">
        <v>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2189867.0</v>
      </c>
      <c r="P37" s="10"/>
      <c r="Q37" s="10"/>
    </row>
    <row r="38" spans="1:19">
      <c r="A38" s="6">
        <v>15</v>
      </c>
      <c r="B38" s="4" t="s">
        <v>39</v>
      </c>
      <c r="C38" s="4">
        <v>0</v>
      </c>
      <c r="D38" s="4">
        <v>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7</v>
      </c>
      <c r="D39" s="9">
        <v>84</v>
      </c>
      <c r="E39" s="9">
        <v>56.0</v>
      </c>
      <c r="F39" s="9">
        <v>7.0</v>
      </c>
      <c r="G39" s="9">
        <v>21.0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28.0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33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2189900.0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236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240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241</v>
      </c>
      <c r="N4" s="10" t="s">
        <v>5</v>
      </c>
      <c r="O4" s="10">
        <v>251100024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113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114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242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>
        <v>1</v>
      </c>
      <c r="C9" s="4">
        <v>1</v>
      </c>
      <c r="D9" s="4">
        <v>12</v>
      </c>
      <c r="E9" s="4">
        <v>8.0</v>
      </c>
      <c r="F9" s="4">
        <v>1.0</v>
      </c>
      <c r="G9" s="4">
        <v>3.0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2879019.0</v>
      </c>
      <c r="P9" s="10"/>
      <c r="Q9" s="10"/>
    </row>
    <row r="10" spans="1:19">
      <c r="A10" s="6">
        <v>17</v>
      </c>
      <c r="B10" s="4">
        <v>2</v>
      </c>
      <c r="C10" s="4">
        <v>1</v>
      </c>
      <c r="D10" s="4">
        <v>12</v>
      </c>
      <c r="E10" s="4">
        <v>8.0</v>
      </c>
      <c r="F10" s="4">
        <v>1.0</v>
      </c>
      <c r="G10" s="4">
        <v>3.0</v>
      </c>
      <c r="H10" s="4">
        <v>0.0</v>
      </c>
      <c r="I10" s="4">
        <v>0.0</v>
      </c>
      <c r="K10" s="10" t="s">
        <v>27</v>
      </c>
      <c r="L10" s="10"/>
      <c r="M10" s="25" t="s">
        <v>130</v>
      </c>
      <c r="N10" s="25">
        <v>499251.82</v>
      </c>
      <c r="O10" s="25"/>
      <c r="P10" s="10"/>
      <c r="Q10" s="10"/>
    </row>
    <row r="11" spans="1:19">
      <c r="A11" s="6">
        <v>18</v>
      </c>
      <c r="B11" s="4">
        <v>3</v>
      </c>
      <c r="C11" s="4">
        <v>1</v>
      </c>
      <c r="D11" s="4">
        <v>12</v>
      </c>
      <c r="E11" s="4">
        <v>8.0</v>
      </c>
      <c r="F11" s="4">
        <v>1.0</v>
      </c>
      <c r="G11" s="4">
        <v>3.0</v>
      </c>
      <c r="H11" s="4">
        <v>0.0</v>
      </c>
      <c r="I11" s="4">
        <v>0.0</v>
      </c>
      <c r="K11" s="10" t="s">
        <v>29</v>
      </c>
      <c r="L11" s="10"/>
      <c r="M11" s="25" t="s">
        <v>131</v>
      </c>
      <c r="N11" s="25">
        <v>1997007.29</v>
      </c>
      <c r="O11" s="25"/>
      <c r="P11" s="10"/>
      <c r="Q11" s="10"/>
    </row>
    <row r="12" spans="1:19">
      <c r="A12" s="6">
        <v>19</v>
      </c>
      <c r="B12" s="4">
        <v>4</v>
      </c>
      <c r="C12" s="4">
        <v>1</v>
      </c>
      <c r="D12" s="4">
        <v>12</v>
      </c>
      <c r="E12" s="4">
        <v>8.0</v>
      </c>
      <c r="F12" s="4">
        <v>1.0</v>
      </c>
      <c r="G12" s="4">
        <v>3.0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>
        <v>5</v>
      </c>
      <c r="C13" s="4">
        <v>1</v>
      </c>
      <c r="D13" s="4">
        <v>12</v>
      </c>
      <c r="E13" s="4">
        <v>8.0</v>
      </c>
      <c r="F13" s="4">
        <v>1.0</v>
      </c>
      <c r="G13" s="4">
        <v>3.0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 t="s">
        <v>39</v>
      </c>
      <c r="C14" s="4">
        <v>0</v>
      </c>
      <c r="D14" s="4">
        <v>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2496259.0</v>
      </c>
      <c r="P14" s="10"/>
      <c r="Q14" s="10"/>
    </row>
    <row r="15" spans="1:19">
      <c r="A15" s="6">
        <v>22</v>
      </c>
      <c r="B15" s="4" t="s">
        <v>39</v>
      </c>
      <c r="C15" s="4">
        <v>0</v>
      </c>
      <c r="D15" s="4">
        <v>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 t="s">
        <v>39</v>
      </c>
      <c r="C16" s="4">
        <v>0</v>
      </c>
      <c r="D16" s="4">
        <v>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 t="s">
        <v>39</v>
      </c>
      <c r="C17" s="4">
        <v>0</v>
      </c>
      <c r="D17" s="4">
        <v>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K17" s="10" t="s">
        <v>36</v>
      </c>
      <c r="L17" s="10"/>
      <c r="M17" s="27" t="s">
        <v>132</v>
      </c>
      <c r="N17" s="25">
        <v>102000</v>
      </c>
      <c r="O17" s="25"/>
      <c r="P17" s="10"/>
      <c r="Q17" s="10"/>
    </row>
    <row r="18" spans="1:19">
      <c r="A18" s="6">
        <v>25</v>
      </c>
      <c r="B18" s="4" t="s">
        <v>39</v>
      </c>
      <c r="C18" s="4">
        <v>0</v>
      </c>
      <c r="D18" s="4">
        <v>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K18" s="10" t="s">
        <v>38</v>
      </c>
      <c r="L18" s="10"/>
      <c r="M18" s="27" t="s">
        <v>132</v>
      </c>
      <c r="N18" s="25">
        <v>170000</v>
      </c>
      <c r="O18" s="25"/>
      <c r="P18" s="10"/>
      <c r="Q18" s="10"/>
    </row>
    <row r="19" spans="1:19">
      <c r="A19" s="6">
        <v>26</v>
      </c>
      <c r="B19" s="4" t="s">
        <v>39</v>
      </c>
      <c r="C19" s="4">
        <v>0</v>
      </c>
      <c r="D19" s="4">
        <v>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K19" s="10" t="s">
        <v>40</v>
      </c>
      <c r="L19" s="10"/>
      <c r="M19" s="27" t="s">
        <v>80</v>
      </c>
      <c r="N19" s="25">
        <v>0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 t="s">
        <v>39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 t="s">
        <v>39</v>
      </c>
      <c r="C22" s="4">
        <v>0</v>
      </c>
      <c r="D22" s="4">
        <v>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272000</v>
      </c>
      <c r="P22" s="10"/>
      <c r="Q22" s="10"/>
    </row>
    <row r="23" spans="1:19">
      <c r="A23" s="6">
        <v>30</v>
      </c>
      <c r="B23" s="4" t="s">
        <v>39</v>
      </c>
      <c r="C23" s="4">
        <v>0</v>
      </c>
      <c r="D23" s="4">
        <v>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 t="s">
        <v>39</v>
      </c>
      <c r="C24" s="4">
        <v>0</v>
      </c>
      <c r="D24" s="4">
        <v>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 t="s">
        <v>39</v>
      </c>
      <c r="C25" s="4">
        <v>0</v>
      </c>
      <c r="D25" s="4">
        <v>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 t="s">
        <v>39</v>
      </c>
      <c r="C26" s="4">
        <v>0</v>
      </c>
      <c r="D26" s="4">
        <v>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>
        <v>1</v>
      </c>
      <c r="C27" s="4">
        <v>1</v>
      </c>
      <c r="D27" s="4">
        <v>12</v>
      </c>
      <c r="E27" s="4">
        <v>8.0</v>
      </c>
      <c r="F27" s="4">
        <v>1.0</v>
      </c>
      <c r="G27" s="4">
        <v>3.0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>
        <v>2</v>
      </c>
      <c r="C28" s="4">
        <v>1</v>
      </c>
      <c r="D28" s="4">
        <v>12</v>
      </c>
      <c r="E28" s="4">
        <v>8.0</v>
      </c>
      <c r="F28" s="4">
        <v>1.0</v>
      </c>
      <c r="G28" s="4">
        <v>3.0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>
        <v>3</v>
      </c>
      <c r="C29" s="4">
        <v>1</v>
      </c>
      <c r="D29" s="4">
        <v>12</v>
      </c>
      <c r="E29" s="4">
        <v>8.0</v>
      </c>
      <c r="F29" s="4">
        <v>1.0</v>
      </c>
      <c r="G29" s="4">
        <v>3.0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5851857.65</v>
      </c>
      <c r="P29" s="10"/>
      <c r="Q29" s="10"/>
    </row>
    <row r="30" spans="1:19">
      <c r="A30" s="6">
        <v>7</v>
      </c>
      <c r="B30" s="4">
        <v>4</v>
      </c>
      <c r="C30" s="4">
        <v>1</v>
      </c>
      <c r="D30" s="4">
        <v>12</v>
      </c>
      <c r="E30" s="4">
        <v>8.0</v>
      </c>
      <c r="F30" s="4">
        <v>1.0</v>
      </c>
      <c r="G30" s="4">
        <v>3.0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>
        <v>5</v>
      </c>
      <c r="C31" s="4">
        <v>1</v>
      </c>
      <c r="D31" s="4">
        <v>12</v>
      </c>
      <c r="E31" s="4">
        <v>8.0</v>
      </c>
      <c r="F31" s="4">
        <v>1.0</v>
      </c>
      <c r="G31" s="4">
        <v>3.0</v>
      </c>
      <c r="H31" s="4">
        <v>0.0</v>
      </c>
      <c r="I31" s="4">
        <v>0.0</v>
      </c>
      <c r="K31" s="10" t="s">
        <v>50</v>
      </c>
      <c r="L31" s="10"/>
      <c r="M31" s="28" t="s">
        <v>75</v>
      </c>
      <c r="N31" s="28" t="s">
        <v>52</v>
      </c>
      <c r="O31" s="25">
        <f>ROUNDDOWN(-(0.00),0)</f>
        <v>0</v>
      </c>
      <c r="P31" s="10"/>
      <c r="Q31" s="10"/>
    </row>
    <row r="32" spans="1:19">
      <c r="A32" s="6">
        <v>9</v>
      </c>
      <c r="B32" s="4">
        <v>6</v>
      </c>
      <c r="C32" s="4">
        <v>1</v>
      </c>
      <c r="D32" s="4">
        <v>12</v>
      </c>
      <c r="E32" s="4">
        <v>8.0</v>
      </c>
      <c r="F32" s="4">
        <v>1.0</v>
      </c>
      <c r="G32" s="4">
        <v>3.0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>
        <v>7</v>
      </c>
      <c r="C33" s="4">
        <v>1</v>
      </c>
      <c r="D33" s="4">
        <v>12</v>
      </c>
      <c r="E33" s="4">
        <v>8.0</v>
      </c>
      <c r="F33" s="4">
        <v>1.0</v>
      </c>
      <c r="G33" s="4">
        <v>3.0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>
        <v>8</v>
      </c>
      <c r="C34" s="4">
        <v>1</v>
      </c>
      <c r="D34" s="4">
        <v>12</v>
      </c>
      <c r="E34" s="4">
        <v>8.0</v>
      </c>
      <c r="F34" s="4">
        <v>1.0</v>
      </c>
      <c r="G34" s="4">
        <v>3.0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>
        <v>9</v>
      </c>
      <c r="C35" s="4">
        <v>1</v>
      </c>
      <c r="D35" s="4">
        <v>12</v>
      </c>
      <c r="E35" s="4">
        <v>8.0</v>
      </c>
      <c r="F35" s="4">
        <v>1.0</v>
      </c>
      <c r="G35" s="4">
        <v>3.0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>
        <v>1</v>
      </c>
      <c r="C36" s="4">
        <v>1</v>
      </c>
      <c r="D36" s="4">
        <v>12</v>
      </c>
      <c r="E36" s="4">
        <v>8.0</v>
      </c>
      <c r="F36" s="4">
        <v>1.0</v>
      </c>
      <c r="G36" s="4">
        <v>3.0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>
        <v>2</v>
      </c>
      <c r="C37" s="4">
        <v>1</v>
      </c>
      <c r="D37" s="4">
        <v>12</v>
      </c>
      <c r="E37" s="4">
        <v>8.0</v>
      </c>
      <c r="F37" s="4">
        <v>1.0</v>
      </c>
      <c r="G37" s="4">
        <v>3.0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5511795.0</v>
      </c>
      <c r="P37" s="10"/>
      <c r="Q37" s="10"/>
    </row>
    <row r="38" spans="1:19">
      <c r="A38" s="6">
        <v>15</v>
      </c>
      <c r="B38" s="4">
        <v>3</v>
      </c>
      <c r="C38" s="4">
        <v>1</v>
      </c>
      <c r="D38" s="4">
        <v>12</v>
      </c>
      <c r="E38" s="4">
        <v>8.0</v>
      </c>
      <c r="F38" s="4">
        <v>1.0</v>
      </c>
      <c r="G38" s="4">
        <v>3.0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17</v>
      </c>
      <c r="D39" s="9">
        <v>204</v>
      </c>
      <c r="E39" s="9">
        <v>136.0</v>
      </c>
      <c r="F39" s="9">
        <v>17.0</v>
      </c>
      <c r="G39" s="9">
        <v>51.0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68.0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5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5511800.0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241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243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244</v>
      </c>
      <c r="N4" s="10" t="s">
        <v>5</v>
      </c>
      <c r="O4" s="10">
        <v>251100084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68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19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245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>
        <v>1</v>
      </c>
      <c r="C9" s="4" t="s">
        <v>25</v>
      </c>
      <c r="D9" s="4">
        <v>12</v>
      </c>
      <c r="E9" s="4">
        <v>8.0</v>
      </c>
      <c r="F9" s="4">
        <v>1.0</v>
      </c>
      <c r="G9" s="4">
        <v>3.0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2370957.0</v>
      </c>
      <c r="P9" s="10"/>
      <c r="Q9" s="10"/>
    </row>
    <row r="10" spans="1:19">
      <c r="A10" s="6">
        <v>17</v>
      </c>
      <c r="B10" s="4">
        <v>2</v>
      </c>
      <c r="C10" s="4" t="s">
        <v>25</v>
      </c>
      <c r="D10" s="4">
        <v>12</v>
      </c>
      <c r="E10" s="4">
        <v>8.0</v>
      </c>
      <c r="F10" s="4">
        <v>1.0</v>
      </c>
      <c r="G10" s="4">
        <v>3.0</v>
      </c>
      <c r="H10" s="4">
        <v>0.0</v>
      </c>
      <c r="I10" s="4">
        <v>0.0</v>
      </c>
      <c r="K10" s="10" t="s">
        <v>27</v>
      </c>
      <c r="L10" s="10"/>
      <c r="M10" s="25" t="s">
        <v>246</v>
      </c>
      <c r="N10" s="25">
        <v>411148.56</v>
      </c>
      <c r="O10" s="25"/>
      <c r="P10" s="10"/>
      <c r="Q10" s="10"/>
    </row>
    <row r="11" spans="1:19">
      <c r="A11" s="6">
        <v>18</v>
      </c>
      <c r="B11" s="4">
        <v>3</v>
      </c>
      <c r="C11" s="4" t="s">
        <v>25</v>
      </c>
      <c r="D11" s="4">
        <v>12</v>
      </c>
      <c r="E11" s="4">
        <v>8.0</v>
      </c>
      <c r="F11" s="4">
        <v>1.0</v>
      </c>
      <c r="G11" s="4">
        <v>3.0</v>
      </c>
      <c r="H11" s="4">
        <v>0.0</v>
      </c>
      <c r="I11" s="4">
        <v>0.0</v>
      </c>
      <c r="K11" s="10" t="s">
        <v>29</v>
      </c>
      <c r="L11" s="10"/>
      <c r="M11" s="25" t="s">
        <v>247</v>
      </c>
      <c r="N11" s="25">
        <v>1644594.24</v>
      </c>
      <c r="O11" s="25"/>
      <c r="P11" s="10"/>
      <c r="Q11" s="10"/>
    </row>
    <row r="12" spans="1:19">
      <c r="A12" s="6">
        <v>19</v>
      </c>
      <c r="B12" s="4">
        <v>4</v>
      </c>
      <c r="C12" s="4" t="s">
        <v>25</v>
      </c>
      <c r="D12" s="4">
        <v>12</v>
      </c>
      <c r="E12" s="4">
        <v>8.0</v>
      </c>
      <c r="F12" s="4">
        <v>1.0</v>
      </c>
      <c r="G12" s="4">
        <v>3.0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>
        <v>5</v>
      </c>
      <c r="C13" s="4" t="s">
        <v>25</v>
      </c>
      <c r="D13" s="4">
        <v>12</v>
      </c>
      <c r="E13" s="4">
        <v>8.0</v>
      </c>
      <c r="F13" s="4">
        <v>1.0</v>
      </c>
      <c r="G13" s="4">
        <v>3.0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>
        <v>6</v>
      </c>
      <c r="C14" s="4" t="s">
        <v>25</v>
      </c>
      <c r="D14" s="4">
        <v>12</v>
      </c>
      <c r="E14" s="4">
        <v>8.0</v>
      </c>
      <c r="F14" s="4">
        <v>1.0</v>
      </c>
      <c r="G14" s="4">
        <v>3.0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2055743.0</v>
      </c>
      <c r="P14" s="10"/>
      <c r="Q14" s="10"/>
    </row>
    <row r="15" spans="1:19">
      <c r="A15" s="6">
        <v>22</v>
      </c>
      <c r="B15" s="4">
        <v>7</v>
      </c>
      <c r="C15" s="4" t="s">
        <v>25</v>
      </c>
      <c r="D15" s="4">
        <v>12</v>
      </c>
      <c r="E15" s="4">
        <v>8.0</v>
      </c>
      <c r="F15" s="4">
        <v>1.0</v>
      </c>
      <c r="G15" s="4">
        <v>3.0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>
        <v>8</v>
      </c>
      <c r="C16" s="4" t="s">
        <v>25</v>
      </c>
      <c r="D16" s="4">
        <v>12</v>
      </c>
      <c r="E16" s="4">
        <v>8.0</v>
      </c>
      <c r="F16" s="4">
        <v>1.0</v>
      </c>
      <c r="G16" s="4">
        <v>3.0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 t="s">
        <v>39</v>
      </c>
      <c r="C17" s="4">
        <v>0</v>
      </c>
      <c r="D17" s="4">
        <v>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K17" s="10" t="s">
        <v>36</v>
      </c>
      <c r="L17" s="10"/>
      <c r="M17" s="27" t="s">
        <v>248</v>
      </c>
      <c r="N17" s="25">
        <v>84000</v>
      </c>
      <c r="O17" s="25"/>
      <c r="P17" s="10"/>
      <c r="Q17" s="10"/>
    </row>
    <row r="18" spans="1:19">
      <c r="A18" s="6">
        <v>25</v>
      </c>
      <c r="B18" s="4" t="s">
        <v>39</v>
      </c>
      <c r="C18" s="4">
        <v>0</v>
      </c>
      <c r="D18" s="4">
        <v>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K18" s="10" t="s">
        <v>38</v>
      </c>
      <c r="L18" s="10"/>
      <c r="M18" s="27" t="s">
        <v>248</v>
      </c>
      <c r="N18" s="25">
        <v>140000</v>
      </c>
      <c r="O18" s="25"/>
      <c r="P18" s="10"/>
      <c r="Q18" s="10"/>
    </row>
    <row r="19" spans="1:19">
      <c r="A19" s="6">
        <v>26</v>
      </c>
      <c r="B19" s="4" t="s">
        <v>39</v>
      </c>
      <c r="C19" s="4">
        <v>0</v>
      </c>
      <c r="D19" s="4">
        <v>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K19" s="10" t="s">
        <v>40</v>
      </c>
      <c r="L19" s="10"/>
      <c r="M19" s="27" t="s">
        <v>87</v>
      </c>
      <c r="N19" s="25">
        <v>203225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 t="s">
        <v>39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 t="s">
        <v>39</v>
      </c>
      <c r="C22" s="4">
        <v>0</v>
      </c>
      <c r="D22" s="4">
        <v>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427225</v>
      </c>
      <c r="P22" s="10"/>
      <c r="Q22" s="10"/>
    </row>
    <row r="23" spans="1:19">
      <c r="A23" s="6">
        <v>30</v>
      </c>
      <c r="B23" s="4" t="s">
        <v>39</v>
      </c>
      <c r="C23" s="4">
        <v>0</v>
      </c>
      <c r="D23" s="4">
        <v>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 t="s">
        <v>39</v>
      </c>
      <c r="C24" s="4">
        <v>0</v>
      </c>
      <c r="D24" s="4">
        <v>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 t="s">
        <v>39</v>
      </c>
      <c r="C25" s="4">
        <v>0</v>
      </c>
      <c r="D25" s="4">
        <v>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 t="s">
        <v>39</v>
      </c>
      <c r="C26" s="4">
        <v>0</v>
      </c>
      <c r="D26" s="4">
        <v>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 t="s">
        <v>39</v>
      </c>
      <c r="C27" s="4">
        <v>0</v>
      </c>
      <c r="D27" s="4">
        <v>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 t="s">
        <v>39</v>
      </c>
      <c r="C28" s="4">
        <v>0</v>
      </c>
      <c r="D28" s="4">
        <v>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 t="s">
        <v>39</v>
      </c>
      <c r="C29" s="4">
        <v>0</v>
      </c>
      <c r="D29" s="4">
        <v>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5058504.19</v>
      </c>
      <c r="P29" s="10"/>
      <c r="Q29" s="10"/>
    </row>
    <row r="30" spans="1:19">
      <c r="A30" s="6">
        <v>7</v>
      </c>
      <c r="B30" s="4" t="s">
        <v>39</v>
      </c>
      <c r="C30" s="4">
        <v>0</v>
      </c>
      <c r="D30" s="4">
        <v>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51</v>
      </c>
      <c r="N31" s="28" t="s">
        <v>52</v>
      </c>
      <c r="O31" s="25">
        <f>ROUNDDOWN(-(0.00),0)</f>
        <v>0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>
        <v>1</v>
      </c>
      <c r="C33" s="4">
        <v>1</v>
      </c>
      <c r="D33" s="4">
        <v>12</v>
      </c>
      <c r="E33" s="4">
        <v>8.0</v>
      </c>
      <c r="F33" s="4">
        <v>1.0</v>
      </c>
      <c r="G33" s="4">
        <v>3.0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>
        <v>2</v>
      </c>
      <c r="C34" s="4">
        <v>1</v>
      </c>
      <c r="D34" s="4">
        <v>12</v>
      </c>
      <c r="E34" s="4">
        <v>8.0</v>
      </c>
      <c r="F34" s="4">
        <v>1.0</v>
      </c>
      <c r="G34" s="4">
        <v>3.0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>
        <v>3</v>
      </c>
      <c r="C35" s="4">
        <v>1</v>
      </c>
      <c r="D35" s="4">
        <v>12</v>
      </c>
      <c r="E35" s="4">
        <v>8.0</v>
      </c>
      <c r="F35" s="4">
        <v>1.0</v>
      </c>
      <c r="G35" s="4">
        <v>3.0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>
        <v>4</v>
      </c>
      <c r="C36" s="4">
        <v>1</v>
      </c>
      <c r="D36" s="4">
        <v>12</v>
      </c>
      <c r="E36" s="4">
        <v>8.0</v>
      </c>
      <c r="F36" s="4">
        <v>1.0</v>
      </c>
      <c r="G36" s="4">
        <v>3.0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>
        <v>5</v>
      </c>
      <c r="C37" s="4">
        <v>1</v>
      </c>
      <c r="D37" s="4">
        <v>12</v>
      </c>
      <c r="E37" s="4">
        <v>8.0</v>
      </c>
      <c r="F37" s="4">
        <v>1.0</v>
      </c>
      <c r="G37" s="4">
        <v>3.0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4718441.0</v>
      </c>
      <c r="P37" s="10"/>
      <c r="Q37" s="10"/>
    </row>
    <row r="38" spans="1:19">
      <c r="A38" s="6">
        <v>15</v>
      </c>
      <c r="B38" s="4">
        <v>6</v>
      </c>
      <c r="C38" s="4">
        <v>1</v>
      </c>
      <c r="D38" s="4">
        <v>12</v>
      </c>
      <c r="E38" s="4">
        <v>8.0</v>
      </c>
      <c r="F38" s="4">
        <v>1.0</v>
      </c>
      <c r="G38" s="4">
        <v>3.0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14</v>
      </c>
      <c r="D39" s="9">
        <v>168</v>
      </c>
      <c r="E39" s="9">
        <v>112.0</v>
      </c>
      <c r="F39" s="9">
        <v>14.0</v>
      </c>
      <c r="G39" s="9">
        <v>42.0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56.0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-41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4718400.0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244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249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250</v>
      </c>
      <c r="N4" s="10" t="s">
        <v>5</v>
      </c>
      <c r="O4" s="10">
        <v>251100070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90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78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251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>
        <v>1</v>
      </c>
      <c r="C9" s="4" t="s">
        <v>25</v>
      </c>
      <c r="D9" s="4">
        <v>12</v>
      </c>
      <c r="E9" s="4">
        <v>8.0</v>
      </c>
      <c r="F9" s="4">
        <v>1.0</v>
      </c>
      <c r="G9" s="4">
        <v>3.0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3048373.0</v>
      </c>
      <c r="P9" s="10"/>
      <c r="Q9" s="10"/>
    </row>
    <row r="10" spans="1:19">
      <c r="A10" s="6">
        <v>17</v>
      </c>
      <c r="B10" s="4">
        <v>2</v>
      </c>
      <c r="C10" s="4" t="s">
        <v>25</v>
      </c>
      <c r="D10" s="4">
        <v>12</v>
      </c>
      <c r="E10" s="4">
        <v>8.0</v>
      </c>
      <c r="F10" s="4">
        <v>1.0</v>
      </c>
      <c r="G10" s="4">
        <v>3.0</v>
      </c>
      <c r="H10" s="4">
        <v>0.0</v>
      </c>
      <c r="I10" s="4">
        <v>0.0</v>
      </c>
      <c r="K10" s="10" t="s">
        <v>27</v>
      </c>
      <c r="L10" s="10"/>
      <c r="M10" s="25" t="s">
        <v>169</v>
      </c>
      <c r="N10" s="25">
        <v>528619.58</v>
      </c>
      <c r="O10" s="25"/>
      <c r="P10" s="10"/>
      <c r="Q10" s="10"/>
    </row>
    <row r="11" spans="1:19">
      <c r="A11" s="6">
        <v>18</v>
      </c>
      <c r="B11" s="4">
        <v>3</v>
      </c>
      <c r="C11" s="4" t="s">
        <v>25</v>
      </c>
      <c r="D11" s="4">
        <v>12</v>
      </c>
      <c r="E11" s="4">
        <v>8.0</v>
      </c>
      <c r="F11" s="4">
        <v>1.0</v>
      </c>
      <c r="G11" s="4">
        <v>3.0</v>
      </c>
      <c r="H11" s="4">
        <v>0.0</v>
      </c>
      <c r="I11" s="4">
        <v>0.0</v>
      </c>
      <c r="K11" s="10" t="s">
        <v>29</v>
      </c>
      <c r="L11" s="10"/>
      <c r="M11" s="25" t="s">
        <v>170</v>
      </c>
      <c r="N11" s="25">
        <v>2114478.31</v>
      </c>
      <c r="O11" s="25"/>
      <c r="P11" s="10"/>
      <c r="Q11" s="10"/>
    </row>
    <row r="12" spans="1:19">
      <c r="A12" s="6">
        <v>19</v>
      </c>
      <c r="B12" s="4">
        <v>4</v>
      </c>
      <c r="C12" s="4" t="s">
        <v>25</v>
      </c>
      <c r="D12" s="4">
        <v>12</v>
      </c>
      <c r="E12" s="4">
        <v>8.0</v>
      </c>
      <c r="F12" s="4">
        <v>1.0</v>
      </c>
      <c r="G12" s="4">
        <v>3.0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>
        <v>5</v>
      </c>
      <c r="C13" s="4" t="s">
        <v>25</v>
      </c>
      <c r="D13" s="4">
        <v>12</v>
      </c>
      <c r="E13" s="4">
        <v>8.0</v>
      </c>
      <c r="F13" s="4">
        <v>1.0</v>
      </c>
      <c r="G13" s="4">
        <v>3.0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>
        <v>6</v>
      </c>
      <c r="C14" s="4" t="s">
        <v>25</v>
      </c>
      <c r="D14" s="4">
        <v>12</v>
      </c>
      <c r="E14" s="4">
        <v>8.0</v>
      </c>
      <c r="F14" s="4">
        <v>1.0</v>
      </c>
      <c r="G14" s="4">
        <v>3.0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2643098.0</v>
      </c>
      <c r="P14" s="10"/>
      <c r="Q14" s="10"/>
    </row>
    <row r="15" spans="1:19">
      <c r="A15" s="6">
        <v>22</v>
      </c>
      <c r="B15" s="4">
        <v>7</v>
      </c>
      <c r="C15" s="4" t="s">
        <v>25</v>
      </c>
      <c r="D15" s="4">
        <v>12</v>
      </c>
      <c r="E15" s="4">
        <v>8.0</v>
      </c>
      <c r="F15" s="4">
        <v>1.0</v>
      </c>
      <c r="G15" s="4">
        <v>3.0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>
        <v>8</v>
      </c>
      <c r="C16" s="4" t="s">
        <v>25</v>
      </c>
      <c r="D16" s="4">
        <v>12</v>
      </c>
      <c r="E16" s="4">
        <v>8.0</v>
      </c>
      <c r="F16" s="4">
        <v>1.0</v>
      </c>
      <c r="G16" s="4">
        <v>3.0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>
        <v>9</v>
      </c>
      <c r="C17" s="4" t="s">
        <v>25</v>
      </c>
      <c r="D17" s="4">
        <v>12</v>
      </c>
      <c r="E17" s="4">
        <v>8.0</v>
      </c>
      <c r="F17" s="4">
        <v>1.0</v>
      </c>
      <c r="G17" s="4">
        <v>3.0</v>
      </c>
      <c r="H17" s="4">
        <v>0.0</v>
      </c>
      <c r="I17" s="4">
        <v>0.0</v>
      </c>
      <c r="K17" s="10" t="s">
        <v>36</v>
      </c>
      <c r="L17" s="10"/>
      <c r="M17" s="27" t="s">
        <v>171</v>
      </c>
      <c r="N17" s="25">
        <v>108000</v>
      </c>
      <c r="O17" s="25"/>
      <c r="P17" s="10"/>
      <c r="Q17" s="10"/>
    </row>
    <row r="18" spans="1:19">
      <c r="A18" s="6">
        <v>25</v>
      </c>
      <c r="B18" s="4">
        <v>1</v>
      </c>
      <c r="C18" s="4" t="s">
        <v>25</v>
      </c>
      <c r="D18" s="4">
        <v>12</v>
      </c>
      <c r="E18" s="4">
        <v>8.0</v>
      </c>
      <c r="F18" s="4">
        <v>1.0</v>
      </c>
      <c r="G18" s="4">
        <v>3.0</v>
      </c>
      <c r="H18" s="4">
        <v>0.0</v>
      </c>
      <c r="I18" s="4">
        <v>0.0</v>
      </c>
      <c r="K18" s="10" t="s">
        <v>38</v>
      </c>
      <c r="L18" s="10"/>
      <c r="M18" s="27" t="s">
        <v>171</v>
      </c>
      <c r="N18" s="25">
        <v>180000</v>
      </c>
      <c r="O18" s="25"/>
      <c r="P18" s="10"/>
      <c r="Q18" s="10"/>
    </row>
    <row r="19" spans="1:19">
      <c r="A19" s="6">
        <v>26</v>
      </c>
      <c r="B19" s="4">
        <v>2</v>
      </c>
      <c r="C19" s="4" t="s">
        <v>25</v>
      </c>
      <c r="D19" s="4">
        <v>12</v>
      </c>
      <c r="E19" s="4">
        <v>8.0</v>
      </c>
      <c r="F19" s="4">
        <v>1.0</v>
      </c>
      <c r="G19" s="4">
        <v>3.0</v>
      </c>
      <c r="H19" s="4">
        <v>0.0</v>
      </c>
      <c r="I19" s="4">
        <v>0.0</v>
      </c>
      <c r="K19" s="10" t="s">
        <v>40</v>
      </c>
      <c r="L19" s="10"/>
      <c r="M19" s="27" t="s">
        <v>171</v>
      </c>
      <c r="N19" s="25">
        <v>457256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 t="s">
        <v>39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 t="s">
        <v>39</v>
      </c>
      <c r="C22" s="4">
        <v>0</v>
      </c>
      <c r="D22" s="4">
        <v>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745256</v>
      </c>
      <c r="P22" s="10"/>
      <c r="Q22" s="10"/>
    </row>
    <row r="23" spans="1:19">
      <c r="A23" s="6">
        <v>30</v>
      </c>
      <c r="B23" s="4">
        <v>1</v>
      </c>
      <c r="C23" s="4" t="s">
        <v>25</v>
      </c>
      <c r="D23" s="4">
        <v>12</v>
      </c>
      <c r="E23" s="4">
        <v>8.0</v>
      </c>
      <c r="F23" s="4">
        <v>1.0</v>
      </c>
      <c r="G23" s="4">
        <v>3.0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>
        <v>2</v>
      </c>
      <c r="C24" s="4" t="s">
        <v>25</v>
      </c>
      <c r="D24" s="4">
        <v>12</v>
      </c>
      <c r="E24" s="4">
        <v>8.0</v>
      </c>
      <c r="F24" s="4">
        <v>1.0</v>
      </c>
      <c r="G24" s="4">
        <v>3.0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>
        <v>3</v>
      </c>
      <c r="C25" s="4" t="s">
        <v>25</v>
      </c>
      <c r="D25" s="4">
        <v>12</v>
      </c>
      <c r="E25" s="4">
        <v>8.0</v>
      </c>
      <c r="F25" s="4">
        <v>1.0</v>
      </c>
      <c r="G25" s="4">
        <v>3.0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>
        <v>4</v>
      </c>
      <c r="C26" s="4" t="s">
        <v>25</v>
      </c>
      <c r="D26" s="4">
        <v>12</v>
      </c>
      <c r="E26" s="4">
        <v>8.0</v>
      </c>
      <c r="F26" s="4">
        <v>1.0</v>
      </c>
      <c r="G26" s="4">
        <v>3.0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>
        <v>5</v>
      </c>
      <c r="C27" s="4" t="s">
        <v>25</v>
      </c>
      <c r="D27" s="4">
        <v>12</v>
      </c>
      <c r="E27" s="4">
        <v>8.0</v>
      </c>
      <c r="F27" s="4">
        <v>1.0</v>
      </c>
      <c r="G27" s="4">
        <v>3.0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>
        <v>6</v>
      </c>
      <c r="C28" s="4" t="s">
        <v>25</v>
      </c>
      <c r="D28" s="4">
        <v>12</v>
      </c>
      <c r="E28" s="4">
        <v>8.0</v>
      </c>
      <c r="F28" s="4">
        <v>1.0</v>
      </c>
      <c r="G28" s="4">
        <v>3.0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>
        <v>7</v>
      </c>
      <c r="C29" s="4" t="s">
        <v>25</v>
      </c>
      <c r="D29" s="4">
        <v>12</v>
      </c>
      <c r="E29" s="4">
        <v>8.0</v>
      </c>
      <c r="F29" s="4">
        <v>1.0</v>
      </c>
      <c r="G29" s="4">
        <v>3.0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6641306.48</v>
      </c>
      <c r="P29" s="10"/>
      <c r="Q29" s="10"/>
    </row>
    <row r="30" spans="1:19">
      <c r="A30" s="6">
        <v>7</v>
      </c>
      <c r="B30" s="4" t="s">
        <v>39</v>
      </c>
      <c r="C30" s="4">
        <v>0</v>
      </c>
      <c r="D30" s="4">
        <v>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51</v>
      </c>
      <c r="N31" s="28" t="s">
        <v>165</v>
      </c>
      <c r="O31" s="25">
        <f>ROUNDDOWN(-(66413.00),0)</f>
        <v>-66413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39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 t="s">
        <v>39</v>
      </c>
      <c r="C37" s="4">
        <v>0</v>
      </c>
      <c r="D37" s="4">
        <v>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6234831.0</v>
      </c>
      <c r="P37" s="10"/>
      <c r="Q37" s="10"/>
    </row>
    <row r="38" spans="1:19">
      <c r="A38" s="6">
        <v>15</v>
      </c>
      <c r="B38" s="4" t="s">
        <v>39</v>
      </c>
      <c r="C38" s="4">
        <v>0</v>
      </c>
      <c r="D38" s="4">
        <v>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18</v>
      </c>
      <c r="D39" s="9">
        <v>216</v>
      </c>
      <c r="E39" s="9">
        <v>144.0</v>
      </c>
      <c r="F39" s="9">
        <v>18.0</v>
      </c>
      <c r="G39" s="9">
        <v>54.0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72.0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-31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6234800.0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250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252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253</v>
      </c>
      <c r="N4" s="10" t="s">
        <v>5</v>
      </c>
      <c r="O4" s="10">
        <v>251100064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83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128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254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 t="s">
        <v>39</v>
      </c>
      <c r="C9" s="4">
        <v>0</v>
      </c>
      <c r="D9" s="4">
        <v>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2201603.0</v>
      </c>
      <c r="P9" s="10"/>
      <c r="Q9" s="10"/>
    </row>
    <row r="10" spans="1:19">
      <c r="A10" s="6">
        <v>17</v>
      </c>
      <c r="B10" s="4" t="s">
        <v>39</v>
      </c>
      <c r="C10" s="4">
        <v>0</v>
      </c>
      <c r="D10" s="4">
        <v>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K10" s="10" t="s">
        <v>27</v>
      </c>
      <c r="L10" s="10"/>
      <c r="M10" s="25" t="s">
        <v>116</v>
      </c>
      <c r="N10" s="25">
        <v>381780.81</v>
      </c>
      <c r="O10" s="25"/>
      <c r="P10" s="10"/>
      <c r="Q10" s="10"/>
    </row>
    <row r="11" spans="1:19">
      <c r="A11" s="6">
        <v>18</v>
      </c>
      <c r="B11" s="4" t="s">
        <v>39</v>
      </c>
      <c r="C11" s="4">
        <v>0</v>
      </c>
      <c r="D11" s="4">
        <v>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K11" s="10" t="s">
        <v>29</v>
      </c>
      <c r="L11" s="10"/>
      <c r="M11" s="25" t="s">
        <v>117</v>
      </c>
      <c r="N11" s="25">
        <v>1527123.23</v>
      </c>
      <c r="O11" s="25"/>
      <c r="P11" s="10"/>
      <c r="Q11" s="10"/>
    </row>
    <row r="12" spans="1:19">
      <c r="A12" s="6">
        <v>19</v>
      </c>
      <c r="B12" s="4" t="s">
        <v>39</v>
      </c>
      <c r="C12" s="4">
        <v>0</v>
      </c>
      <c r="D12" s="4">
        <v>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 t="s">
        <v>39</v>
      </c>
      <c r="C13" s="4">
        <v>0</v>
      </c>
      <c r="D13" s="4">
        <v>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 t="s">
        <v>39</v>
      </c>
      <c r="C14" s="4">
        <v>0</v>
      </c>
      <c r="D14" s="4">
        <v>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1908904.0</v>
      </c>
      <c r="P14" s="10"/>
      <c r="Q14" s="10"/>
    </row>
    <row r="15" spans="1:19">
      <c r="A15" s="6">
        <v>22</v>
      </c>
      <c r="B15" s="4" t="s">
        <v>39</v>
      </c>
      <c r="C15" s="4">
        <v>0</v>
      </c>
      <c r="D15" s="4">
        <v>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>
        <v>1</v>
      </c>
      <c r="C16" s="4">
        <v>1</v>
      </c>
      <c r="D16" s="4">
        <v>12</v>
      </c>
      <c r="E16" s="4">
        <v>8.0</v>
      </c>
      <c r="F16" s="4">
        <v>1.0</v>
      </c>
      <c r="G16" s="4">
        <v>3.0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>
        <v>2</v>
      </c>
      <c r="C17" s="4">
        <v>1</v>
      </c>
      <c r="D17" s="4">
        <v>12</v>
      </c>
      <c r="E17" s="4">
        <v>8.0</v>
      </c>
      <c r="F17" s="4">
        <v>1.0</v>
      </c>
      <c r="G17" s="4">
        <v>3.0</v>
      </c>
      <c r="H17" s="4">
        <v>0.0</v>
      </c>
      <c r="I17" s="4">
        <v>0.0</v>
      </c>
      <c r="K17" s="10" t="s">
        <v>36</v>
      </c>
      <c r="L17" s="10"/>
      <c r="M17" s="27" t="s">
        <v>118</v>
      </c>
      <c r="N17" s="25">
        <v>78000</v>
      </c>
      <c r="O17" s="25"/>
      <c r="P17" s="10"/>
      <c r="Q17" s="10"/>
    </row>
    <row r="18" spans="1:19">
      <c r="A18" s="6">
        <v>25</v>
      </c>
      <c r="B18" s="4">
        <v>3</v>
      </c>
      <c r="C18" s="4">
        <v>1</v>
      </c>
      <c r="D18" s="4">
        <v>12</v>
      </c>
      <c r="E18" s="4">
        <v>8.0</v>
      </c>
      <c r="F18" s="4">
        <v>1.0</v>
      </c>
      <c r="G18" s="4">
        <v>3.0</v>
      </c>
      <c r="H18" s="4">
        <v>0.0</v>
      </c>
      <c r="I18" s="4">
        <v>0.0</v>
      </c>
      <c r="K18" s="10" t="s">
        <v>38</v>
      </c>
      <c r="L18" s="10"/>
      <c r="M18" s="27" t="s">
        <v>118</v>
      </c>
      <c r="N18" s="25">
        <v>130000</v>
      </c>
      <c r="O18" s="25"/>
      <c r="P18" s="10"/>
      <c r="Q18" s="10"/>
    </row>
    <row r="19" spans="1:19">
      <c r="A19" s="6">
        <v>26</v>
      </c>
      <c r="B19" s="4">
        <v>4</v>
      </c>
      <c r="C19" s="4">
        <v>1</v>
      </c>
      <c r="D19" s="4">
        <v>12</v>
      </c>
      <c r="E19" s="4">
        <v>8.0</v>
      </c>
      <c r="F19" s="4">
        <v>1.0</v>
      </c>
      <c r="G19" s="4">
        <v>3.0</v>
      </c>
      <c r="H19" s="4">
        <v>0.0</v>
      </c>
      <c r="I19" s="4">
        <v>0.0</v>
      </c>
      <c r="K19" s="10" t="s">
        <v>40</v>
      </c>
      <c r="L19" s="10"/>
      <c r="M19" s="27" t="s">
        <v>80</v>
      </c>
      <c r="N19" s="25">
        <v>0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 t="s">
        <v>39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 t="s">
        <v>39</v>
      </c>
      <c r="C22" s="4">
        <v>0</v>
      </c>
      <c r="D22" s="4">
        <v>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208000</v>
      </c>
      <c r="P22" s="10"/>
      <c r="Q22" s="10"/>
    </row>
    <row r="23" spans="1:19">
      <c r="A23" s="6">
        <v>30</v>
      </c>
      <c r="B23" s="4" t="s">
        <v>39</v>
      </c>
      <c r="C23" s="4">
        <v>0</v>
      </c>
      <c r="D23" s="4">
        <v>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>
        <v>1</v>
      </c>
      <c r="C24" s="4">
        <v>1</v>
      </c>
      <c r="D24" s="4">
        <v>12</v>
      </c>
      <c r="E24" s="4">
        <v>8.0</v>
      </c>
      <c r="F24" s="4">
        <v>1.0</v>
      </c>
      <c r="G24" s="4">
        <v>3.0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>
        <v>2</v>
      </c>
      <c r="C25" s="4">
        <v>1</v>
      </c>
      <c r="D25" s="4">
        <v>12</v>
      </c>
      <c r="E25" s="4">
        <v>8.0</v>
      </c>
      <c r="F25" s="4">
        <v>1.0</v>
      </c>
      <c r="G25" s="4">
        <v>3.0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>
        <v>3</v>
      </c>
      <c r="C26" s="4">
        <v>1</v>
      </c>
      <c r="D26" s="4">
        <v>12</v>
      </c>
      <c r="E26" s="4">
        <v>8.0</v>
      </c>
      <c r="F26" s="4">
        <v>1.0</v>
      </c>
      <c r="G26" s="4">
        <v>3.0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>
        <v>4</v>
      </c>
      <c r="C27" s="4">
        <v>1</v>
      </c>
      <c r="D27" s="4">
        <v>12</v>
      </c>
      <c r="E27" s="4">
        <v>8.0</v>
      </c>
      <c r="F27" s="4">
        <v>1.0</v>
      </c>
      <c r="G27" s="4">
        <v>3.0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>
        <v>5</v>
      </c>
      <c r="C28" s="4">
        <v>1</v>
      </c>
      <c r="D28" s="4">
        <v>12</v>
      </c>
      <c r="E28" s="4">
        <v>8.0</v>
      </c>
      <c r="F28" s="4">
        <v>1.0</v>
      </c>
      <c r="G28" s="4">
        <v>3.0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>
        <v>6</v>
      </c>
      <c r="C29" s="4">
        <v>1</v>
      </c>
      <c r="D29" s="4">
        <v>12</v>
      </c>
      <c r="E29" s="4">
        <v>8.0</v>
      </c>
      <c r="F29" s="4">
        <v>1.0</v>
      </c>
      <c r="G29" s="4">
        <v>3.0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4523086.38</v>
      </c>
      <c r="P29" s="10"/>
      <c r="Q29" s="10"/>
    </row>
    <row r="30" spans="1:19">
      <c r="A30" s="6">
        <v>7</v>
      </c>
      <c r="B30" s="4">
        <v>7</v>
      </c>
      <c r="C30" s="4">
        <v>1</v>
      </c>
      <c r="D30" s="4">
        <v>12</v>
      </c>
      <c r="E30" s="4">
        <v>8.0</v>
      </c>
      <c r="F30" s="4">
        <v>1.0</v>
      </c>
      <c r="G30" s="4">
        <v>3.0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134</v>
      </c>
      <c r="N31" s="28" t="s">
        <v>52</v>
      </c>
      <c r="O31" s="25">
        <f>ROUNDDOWN(-(0.00),0)</f>
        <v>0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39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>
        <v>1</v>
      </c>
      <c r="C37" s="4">
        <v>1</v>
      </c>
      <c r="D37" s="4">
        <v>12</v>
      </c>
      <c r="E37" s="4">
        <v>8.0</v>
      </c>
      <c r="F37" s="4">
        <v>1.0</v>
      </c>
      <c r="G37" s="4">
        <v>3.0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4183023.0</v>
      </c>
      <c r="P37" s="10"/>
      <c r="Q37" s="10"/>
    </row>
    <row r="38" spans="1:19">
      <c r="A38" s="6">
        <v>15</v>
      </c>
      <c r="B38" s="4">
        <v>2</v>
      </c>
      <c r="C38" s="4">
        <v>1</v>
      </c>
      <c r="D38" s="4">
        <v>12</v>
      </c>
      <c r="E38" s="4">
        <v>8.0</v>
      </c>
      <c r="F38" s="4">
        <v>1.0</v>
      </c>
      <c r="G38" s="4">
        <v>3.0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13</v>
      </c>
      <c r="D39" s="9">
        <v>156</v>
      </c>
      <c r="E39" s="9">
        <v>104.0</v>
      </c>
      <c r="F39" s="9">
        <v>13.0</v>
      </c>
      <c r="G39" s="9">
        <v>39.0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52.0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-23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4183000.0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253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255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256</v>
      </c>
      <c r="N4" s="10" t="s">
        <v>5</v>
      </c>
      <c r="O4" s="10">
        <v>251100073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90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69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257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>
        <v>1</v>
      </c>
      <c r="C9" s="4">
        <v>1</v>
      </c>
      <c r="D9" s="4">
        <v>12</v>
      </c>
      <c r="E9" s="4">
        <v>8.0</v>
      </c>
      <c r="F9" s="4">
        <v>1.0</v>
      </c>
      <c r="G9" s="4">
        <v>3.0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1862895.0</v>
      </c>
      <c r="P9" s="10"/>
      <c r="Q9" s="10"/>
    </row>
    <row r="10" spans="1:19">
      <c r="A10" s="6">
        <v>17</v>
      </c>
      <c r="B10" s="4">
        <v>2</v>
      </c>
      <c r="C10" s="4">
        <v>1</v>
      </c>
      <c r="D10" s="4">
        <v>12</v>
      </c>
      <c r="E10" s="4">
        <v>8.0</v>
      </c>
      <c r="F10" s="4">
        <v>1.0</v>
      </c>
      <c r="G10" s="4">
        <v>3.0</v>
      </c>
      <c r="H10" s="4">
        <v>0.0</v>
      </c>
      <c r="I10" s="4">
        <v>0.0</v>
      </c>
      <c r="K10" s="10" t="s">
        <v>27</v>
      </c>
      <c r="L10" s="10"/>
      <c r="M10" s="25" t="s">
        <v>216</v>
      </c>
      <c r="N10" s="25">
        <v>323045.3</v>
      </c>
      <c r="O10" s="25"/>
      <c r="P10" s="10"/>
      <c r="Q10" s="10"/>
    </row>
    <row r="11" spans="1:19">
      <c r="A11" s="6">
        <v>18</v>
      </c>
      <c r="B11" s="4">
        <v>3</v>
      </c>
      <c r="C11" s="4">
        <v>1</v>
      </c>
      <c r="D11" s="4">
        <v>12</v>
      </c>
      <c r="E11" s="4">
        <v>8.0</v>
      </c>
      <c r="F11" s="4">
        <v>1.0</v>
      </c>
      <c r="G11" s="4">
        <v>3.0</v>
      </c>
      <c r="H11" s="4">
        <v>0.0</v>
      </c>
      <c r="I11" s="4">
        <v>0.0</v>
      </c>
      <c r="K11" s="10" t="s">
        <v>29</v>
      </c>
      <c r="L11" s="10"/>
      <c r="M11" s="25" t="s">
        <v>217</v>
      </c>
      <c r="N11" s="25">
        <v>1292181.19</v>
      </c>
      <c r="O11" s="25"/>
      <c r="P11" s="10"/>
      <c r="Q11" s="10"/>
    </row>
    <row r="12" spans="1:19">
      <c r="A12" s="6">
        <v>19</v>
      </c>
      <c r="B12" s="4">
        <v>4</v>
      </c>
      <c r="C12" s="4">
        <v>1</v>
      </c>
      <c r="D12" s="4">
        <v>12</v>
      </c>
      <c r="E12" s="4">
        <v>8.0</v>
      </c>
      <c r="F12" s="4">
        <v>1.0</v>
      </c>
      <c r="G12" s="4">
        <v>3.0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>
        <v>5</v>
      </c>
      <c r="C13" s="4">
        <v>1</v>
      </c>
      <c r="D13" s="4">
        <v>12</v>
      </c>
      <c r="E13" s="4">
        <v>8.0</v>
      </c>
      <c r="F13" s="4">
        <v>1.0</v>
      </c>
      <c r="G13" s="4">
        <v>3.0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>
        <v>6</v>
      </c>
      <c r="C14" s="4">
        <v>1</v>
      </c>
      <c r="D14" s="4">
        <v>12</v>
      </c>
      <c r="E14" s="4">
        <v>8.0</v>
      </c>
      <c r="F14" s="4">
        <v>1.0</v>
      </c>
      <c r="G14" s="4">
        <v>3.0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1615226.0</v>
      </c>
      <c r="P14" s="10"/>
      <c r="Q14" s="10"/>
    </row>
    <row r="15" spans="1:19">
      <c r="A15" s="6">
        <v>22</v>
      </c>
      <c r="B15" s="4">
        <v>7</v>
      </c>
      <c r="C15" s="4">
        <v>1</v>
      </c>
      <c r="D15" s="4">
        <v>12</v>
      </c>
      <c r="E15" s="4">
        <v>8.0</v>
      </c>
      <c r="F15" s="4">
        <v>1.0</v>
      </c>
      <c r="G15" s="4">
        <v>3.0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>
        <v>8</v>
      </c>
      <c r="C16" s="4">
        <v>1</v>
      </c>
      <c r="D16" s="4">
        <v>12</v>
      </c>
      <c r="E16" s="4">
        <v>8.0</v>
      </c>
      <c r="F16" s="4">
        <v>1.0</v>
      </c>
      <c r="G16" s="4">
        <v>3.0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>
        <v>9</v>
      </c>
      <c r="C17" s="4">
        <v>1</v>
      </c>
      <c r="D17" s="4">
        <v>12</v>
      </c>
      <c r="E17" s="4">
        <v>8.0</v>
      </c>
      <c r="F17" s="4">
        <v>1.0</v>
      </c>
      <c r="G17" s="4">
        <v>3.0</v>
      </c>
      <c r="H17" s="4">
        <v>0.0</v>
      </c>
      <c r="I17" s="4">
        <v>0.0</v>
      </c>
      <c r="K17" s="10" t="s">
        <v>36</v>
      </c>
      <c r="L17" s="10"/>
      <c r="M17" s="27" t="s">
        <v>74</v>
      </c>
      <c r="N17" s="25">
        <v>66000</v>
      </c>
      <c r="O17" s="25"/>
      <c r="P17" s="10"/>
      <c r="Q17" s="10"/>
    </row>
    <row r="18" spans="1:19">
      <c r="A18" s="6">
        <v>25</v>
      </c>
      <c r="B18" s="4">
        <v>1</v>
      </c>
      <c r="C18" s="4">
        <v>1</v>
      </c>
      <c r="D18" s="4">
        <v>12</v>
      </c>
      <c r="E18" s="4">
        <v>8.0</v>
      </c>
      <c r="F18" s="4">
        <v>1.0</v>
      </c>
      <c r="G18" s="4">
        <v>3.0</v>
      </c>
      <c r="H18" s="4">
        <v>0.0</v>
      </c>
      <c r="I18" s="4">
        <v>0.0</v>
      </c>
      <c r="K18" s="10" t="s">
        <v>38</v>
      </c>
      <c r="L18" s="10"/>
      <c r="M18" s="27" t="s">
        <v>74</v>
      </c>
      <c r="N18" s="25">
        <v>110000</v>
      </c>
      <c r="O18" s="25"/>
      <c r="P18" s="10"/>
      <c r="Q18" s="10"/>
    </row>
    <row r="19" spans="1:19">
      <c r="A19" s="6">
        <v>26</v>
      </c>
      <c r="B19" s="4">
        <v>2</v>
      </c>
      <c r="C19" s="4">
        <v>1</v>
      </c>
      <c r="D19" s="4">
        <v>12</v>
      </c>
      <c r="E19" s="4">
        <v>8.0</v>
      </c>
      <c r="F19" s="4">
        <v>1.0</v>
      </c>
      <c r="G19" s="4">
        <v>3.0</v>
      </c>
      <c r="H19" s="4">
        <v>0.0</v>
      </c>
      <c r="I19" s="4">
        <v>0.0</v>
      </c>
      <c r="K19" s="10" t="s">
        <v>40</v>
      </c>
      <c r="L19" s="10"/>
      <c r="M19" s="27" t="s">
        <v>80</v>
      </c>
      <c r="N19" s="25">
        <v>0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 t="s">
        <v>39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 t="s">
        <v>39</v>
      </c>
      <c r="C22" s="4">
        <v>0</v>
      </c>
      <c r="D22" s="4">
        <v>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176000</v>
      </c>
      <c r="P22" s="10"/>
      <c r="Q22" s="10"/>
    </row>
    <row r="23" spans="1:19">
      <c r="A23" s="6">
        <v>30</v>
      </c>
      <c r="B23" s="4" t="s">
        <v>39</v>
      </c>
      <c r="C23" s="4">
        <v>0</v>
      </c>
      <c r="D23" s="4">
        <v>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 t="s">
        <v>39</v>
      </c>
      <c r="C24" s="4">
        <v>0</v>
      </c>
      <c r="D24" s="4">
        <v>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 t="s">
        <v>39</v>
      </c>
      <c r="C25" s="4">
        <v>0</v>
      </c>
      <c r="D25" s="4">
        <v>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 t="s">
        <v>39</v>
      </c>
      <c r="C26" s="4">
        <v>0</v>
      </c>
      <c r="D26" s="4">
        <v>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 t="s">
        <v>39</v>
      </c>
      <c r="C27" s="4">
        <v>0</v>
      </c>
      <c r="D27" s="4">
        <v>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 t="s">
        <v>39</v>
      </c>
      <c r="C28" s="4">
        <v>0</v>
      </c>
      <c r="D28" s="4">
        <v>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 t="s">
        <v>39</v>
      </c>
      <c r="C29" s="4">
        <v>0</v>
      </c>
      <c r="D29" s="4">
        <v>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3858700.73</v>
      </c>
      <c r="P29" s="10"/>
      <c r="Q29" s="10"/>
    </row>
    <row r="30" spans="1:19">
      <c r="A30" s="6">
        <v>7</v>
      </c>
      <c r="B30" s="4" t="s">
        <v>39</v>
      </c>
      <c r="C30" s="4">
        <v>0</v>
      </c>
      <c r="D30" s="4">
        <v>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75</v>
      </c>
      <c r="N31" s="28" t="s">
        <v>52</v>
      </c>
      <c r="O31" s="25">
        <f>ROUNDDOWN(-(0.00),0)</f>
        <v>0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39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 t="s">
        <v>39</v>
      </c>
      <c r="C37" s="4">
        <v>0</v>
      </c>
      <c r="D37" s="4">
        <v>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3518638.0</v>
      </c>
      <c r="P37" s="10"/>
      <c r="Q37" s="10"/>
    </row>
    <row r="38" spans="1:19">
      <c r="A38" s="6">
        <v>15</v>
      </c>
      <c r="B38" s="4" t="s">
        <v>39</v>
      </c>
      <c r="C38" s="4">
        <v>0</v>
      </c>
      <c r="D38" s="4">
        <v>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11</v>
      </c>
      <c r="D39" s="9">
        <v>132</v>
      </c>
      <c r="E39" s="9">
        <v>88.0</v>
      </c>
      <c r="F39" s="9">
        <v>11.0</v>
      </c>
      <c r="G39" s="9">
        <v>33.0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44.0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-38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3518600.0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256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258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259</v>
      </c>
      <c r="N4" s="10" t="s">
        <v>5</v>
      </c>
      <c r="O4" s="10">
        <v>251100036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137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128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260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>
        <v>1</v>
      </c>
      <c r="C9" s="4">
        <v>1</v>
      </c>
      <c r="D9" s="4">
        <v>12</v>
      </c>
      <c r="E9" s="4">
        <v>8.0</v>
      </c>
      <c r="F9" s="4">
        <v>1.0</v>
      </c>
      <c r="G9" s="4">
        <v>3.0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3048373.0</v>
      </c>
      <c r="P9" s="10"/>
      <c r="Q9" s="10"/>
    </row>
    <row r="10" spans="1:19">
      <c r="A10" s="6">
        <v>17</v>
      </c>
      <c r="B10" s="4">
        <v>2</v>
      </c>
      <c r="C10" s="4">
        <v>1</v>
      </c>
      <c r="D10" s="4">
        <v>12</v>
      </c>
      <c r="E10" s="4">
        <v>8.0</v>
      </c>
      <c r="F10" s="4">
        <v>1.0</v>
      </c>
      <c r="G10" s="4">
        <v>3.0</v>
      </c>
      <c r="H10" s="4">
        <v>0.0</v>
      </c>
      <c r="I10" s="4">
        <v>0.0</v>
      </c>
      <c r="K10" s="10" t="s">
        <v>27</v>
      </c>
      <c r="L10" s="10"/>
      <c r="M10" s="25" t="s">
        <v>169</v>
      </c>
      <c r="N10" s="25">
        <v>528619.58</v>
      </c>
      <c r="O10" s="25"/>
      <c r="P10" s="10"/>
      <c r="Q10" s="10"/>
    </row>
    <row r="11" spans="1:19">
      <c r="A11" s="6">
        <v>18</v>
      </c>
      <c r="B11" s="4">
        <v>3</v>
      </c>
      <c r="C11" s="4">
        <v>1</v>
      </c>
      <c r="D11" s="4">
        <v>12</v>
      </c>
      <c r="E11" s="4">
        <v>8.0</v>
      </c>
      <c r="F11" s="4">
        <v>1.0</v>
      </c>
      <c r="G11" s="4">
        <v>3.0</v>
      </c>
      <c r="H11" s="4">
        <v>0.0</v>
      </c>
      <c r="I11" s="4">
        <v>0.0</v>
      </c>
      <c r="K11" s="10" t="s">
        <v>29</v>
      </c>
      <c r="L11" s="10"/>
      <c r="M11" s="25" t="s">
        <v>170</v>
      </c>
      <c r="N11" s="25">
        <v>2114478.31</v>
      </c>
      <c r="O11" s="25"/>
      <c r="P11" s="10"/>
      <c r="Q11" s="10"/>
    </row>
    <row r="12" spans="1:19">
      <c r="A12" s="6">
        <v>19</v>
      </c>
      <c r="B12" s="4">
        <v>4</v>
      </c>
      <c r="C12" s="4">
        <v>1</v>
      </c>
      <c r="D12" s="4">
        <v>12</v>
      </c>
      <c r="E12" s="4">
        <v>8.0</v>
      </c>
      <c r="F12" s="4">
        <v>1.0</v>
      </c>
      <c r="G12" s="4">
        <v>3.0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>
        <v>5</v>
      </c>
      <c r="C13" s="4">
        <v>1</v>
      </c>
      <c r="D13" s="4">
        <v>12</v>
      </c>
      <c r="E13" s="4">
        <v>8.0</v>
      </c>
      <c r="F13" s="4">
        <v>1.0</v>
      </c>
      <c r="G13" s="4">
        <v>3.0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>
        <v>6</v>
      </c>
      <c r="C14" s="4">
        <v>1</v>
      </c>
      <c r="D14" s="4">
        <v>12</v>
      </c>
      <c r="E14" s="4">
        <v>8.0</v>
      </c>
      <c r="F14" s="4">
        <v>1.0</v>
      </c>
      <c r="G14" s="4">
        <v>3.0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2643098.0</v>
      </c>
      <c r="P14" s="10"/>
      <c r="Q14" s="10"/>
    </row>
    <row r="15" spans="1:19">
      <c r="A15" s="6">
        <v>22</v>
      </c>
      <c r="B15" s="4">
        <v>7</v>
      </c>
      <c r="C15" s="4">
        <v>1</v>
      </c>
      <c r="D15" s="4">
        <v>12</v>
      </c>
      <c r="E15" s="4">
        <v>8.0</v>
      </c>
      <c r="F15" s="4">
        <v>1.0</v>
      </c>
      <c r="G15" s="4">
        <v>3.0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>
        <v>8</v>
      </c>
      <c r="C16" s="4">
        <v>1</v>
      </c>
      <c r="D16" s="4">
        <v>12</v>
      </c>
      <c r="E16" s="4">
        <v>8.0</v>
      </c>
      <c r="F16" s="4">
        <v>1.0</v>
      </c>
      <c r="G16" s="4">
        <v>3.0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 t="s">
        <v>39</v>
      </c>
      <c r="C17" s="4">
        <v>0</v>
      </c>
      <c r="D17" s="4">
        <v>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K17" s="10" t="s">
        <v>36</v>
      </c>
      <c r="L17" s="10"/>
      <c r="M17" s="27" t="s">
        <v>171</v>
      </c>
      <c r="N17" s="25">
        <v>108000</v>
      </c>
      <c r="O17" s="25"/>
      <c r="P17" s="10"/>
      <c r="Q17" s="10"/>
    </row>
    <row r="18" spans="1:19">
      <c r="A18" s="6">
        <v>25</v>
      </c>
      <c r="B18" s="4" t="s">
        <v>39</v>
      </c>
      <c r="C18" s="4">
        <v>0</v>
      </c>
      <c r="D18" s="4">
        <v>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K18" s="10" t="s">
        <v>38</v>
      </c>
      <c r="L18" s="10"/>
      <c r="M18" s="27" t="s">
        <v>171</v>
      </c>
      <c r="N18" s="25">
        <v>180000</v>
      </c>
      <c r="O18" s="25"/>
      <c r="P18" s="10"/>
      <c r="Q18" s="10"/>
    </row>
    <row r="19" spans="1:19">
      <c r="A19" s="6">
        <v>26</v>
      </c>
      <c r="B19" s="4" t="s">
        <v>39</v>
      </c>
      <c r="C19" s="4">
        <v>0</v>
      </c>
      <c r="D19" s="4">
        <v>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K19" s="10" t="s">
        <v>40</v>
      </c>
      <c r="L19" s="10"/>
      <c r="M19" s="27" t="s">
        <v>80</v>
      </c>
      <c r="N19" s="25">
        <v>0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>
        <v>1</v>
      </c>
      <c r="C21" s="4">
        <v>1</v>
      </c>
      <c r="D21" s="4">
        <v>12</v>
      </c>
      <c r="E21" s="4">
        <v>8.0</v>
      </c>
      <c r="F21" s="4">
        <v>1.0</v>
      </c>
      <c r="G21" s="4">
        <v>3.0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>
        <v>2</v>
      </c>
      <c r="C22" s="4">
        <v>1</v>
      </c>
      <c r="D22" s="4">
        <v>12</v>
      </c>
      <c r="E22" s="4">
        <v>8.0</v>
      </c>
      <c r="F22" s="4">
        <v>1.0</v>
      </c>
      <c r="G22" s="4">
        <v>3.0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288000</v>
      </c>
      <c r="P22" s="10"/>
      <c r="Q22" s="10"/>
    </row>
    <row r="23" spans="1:19">
      <c r="A23" s="6">
        <v>30</v>
      </c>
      <c r="B23" s="4">
        <v>3</v>
      </c>
      <c r="C23" s="4">
        <v>1</v>
      </c>
      <c r="D23" s="4">
        <v>12</v>
      </c>
      <c r="E23" s="4">
        <v>8.0</v>
      </c>
      <c r="F23" s="4">
        <v>1.0</v>
      </c>
      <c r="G23" s="4">
        <v>3.0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>
        <v>4</v>
      </c>
      <c r="C24" s="4">
        <v>1</v>
      </c>
      <c r="D24" s="4">
        <v>12</v>
      </c>
      <c r="E24" s="4">
        <v>8.0</v>
      </c>
      <c r="F24" s="4">
        <v>1.0</v>
      </c>
      <c r="G24" s="4">
        <v>3.0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>
        <v>5</v>
      </c>
      <c r="C25" s="4">
        <v>1</v>
      </c>
      <c r="D25" s="4">
        <v>12</v>
      </c>
      <c r="E25" s="4">
        <v>8.0</v>
      </c>
      <c r="F25" s="4">
        <v>1.0</v>
      </c>
      <c r="G25" s="4">
        <v>3.0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>
        <v>6</v>
      </c>
      <c r="C26" s="4">
        <v>1</v>
      </c>
      <c r="D26" s="4">
        <v>12</v>
      </c>
      <c r="E26" s="4">
        <v>8.0</v>
      </c>
      <c r="F26" s="4">
        <v>1.0</v>
      </c>
      <c r="G26" s="4">
        <v>3.0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>
        <v>7</v>
      </c>
      <c r="C27" s="4">
        <v>1</v>
      </c>
      <c r="D27" s="4">
        <v>12</v>
      </c>
      <c r="E27" s="4">
        <v>8.0</v>
      </c>
      <c r="F27" s="4">
        <v>1.0</v>
      </c>
      <c r="G27" s="4">
        <v>3.0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>
        <v>8</v>
      </c>
      <c r="C28" s="4">
        <v>1</v>
      </c>
      <c r="D28" s="4">
        <v>12</v>
      </c>
      <c r="E28" s="4">
        <v>8.0</v>
      </c>
      <c r="F28" s="4">
        <v>1.0</v>
      </c>
      <c r="G28" s="4">
        <v>3.0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>
        <v>9</v>
      </c>
      <c r="C29" s="4">
        <v>1</v>
      </c>
      <c r="D29" s="4">
        <v>12</v>
      </c>
      <c r="E29" s="4">
        <v>8.0</v>
      </c>
      <c r="F29" s="4">
        <v>1.0</v>
      </c>
      <c r="G29" s="4">
        <v>3.0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6184050.48</v>
      </c>
      <c r="P29" s="10"/>
      <c r="Q29" s="10"/>
    </row>
    <row r="30" spans="1:19">
      <c r="A30" s="6">
        <v>7</v>
      </c>
      <c r="B30" s="4">
        <v>1</v>
      </c>
      <c r="C30" s="4">
        <v>1</v>
      </c>
      <c r="D30" s="4">
        <v>12</v>
      </c>
      <c r="E30" s="4">
        <v>8.0</v>
      </c>
      <c r="F30" s="4">
        <v>1.0</v>
      </c>
      <c r="G30" s="4">
        <v>3.0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134</v>
      </c>
      <c r="N31" s="28" t="s">
        <v>52</v>
      </c>
      <c r="O31" s="25">
        <f>ROUNDDOWN(-(0.00),0)</f>
        <v>0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39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 t="s">
        <v>39</v>
      </c>
      <c r="C37" s="4">
        <v>0</v>
      </c>
      <c r="D37" s="4">
        <v>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5843988.0</v>
      </c>
      <c r="P37" s="10"/>
      <c r="Q37" s="10"/>
    </row>
    <row r="38" spans="1:19">
      <c r="A38" s="6">
        <v>15</v>
      </c>
      <c r="B38" s="4" t="s">
        <v>39</v>
      </c>
      <c r="C38" s="4">
        <v>0</v>
      </c>
      <c r="D38" s="4">
        <v>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18</v>
      </c>
      <c r="D39" s="9">
        <v>216</v>
      </c>
      <c r="E39" s="9">
        <v>144.0</v>
      </c>
      <c r="F39" s="9">
        <v>18.0</v>
      </c>
      <c r="G39" s="9">
        <v>54.0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72.0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12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5844000.0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259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261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262</v>
      </c>
      <c r="N4" s="10" t="s">
        <v>5</v>
      </c>
      <c r="O4" s="10">
        <v>251100031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263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19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264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 t="s">
        <v>39</v>
      </c>
      <c r="C9" s="4">
        <v>0</v>
      </c>
      <c r="D9" s="4">
        <v>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1862895.0</v>
      </c>
      <c r="P9" s="10"/>
      <c r="Q9" s="10"/>
    </row>
    <row r="10" spans="1:19">
      <c r="A10" s="6">
        <v>17</v>
      </c>
      <c r="B10" s="4">
        <v>1</v>
      </c>
      <c r="C10" s="4">
        <v>1</v>
      </c>
      <c r="D10" s="4">
        <v>12</v>
      </c>
      <c r="E10" s="4">
        <v>8.0</v>
      </c>
      <c r="F10" s="4">
        <v>1.0</v>
      </c>
      <c r="G10" s="4">
        <v>3.0</v>
      </c>
      <c r="H10" s="4">
        <v>0.0</v>
      </c>
      <c r="I10" s="4">
        <v>0.0</v>
      </c>
      <c r="K10" s="10" t="s">
        <v>27</v>
      </c>
      <c r="L10" s="10"/>
      <c r="M10" s="25" t="s">
        <v>216</v>
      </c>
      <c r="N10" s="25">
        <v>323045.3</v>
      </c>
      <c r="O10" s="25"/>
      <c r="P10" s="10"/>
      <c r="Q10" s="10"/>
    </row>
    <row r="11" spans="1:19">
      <c r="A11" s="6">
        <v>18</v>
      </c>
      <c r="B11" s="4">
        <v>2</v>
      </c>
      <c r="C11" s="4">
        <v>1</v>
      </c>
      <c r="D11" s="4">
        <v>12</v>
      </c>
      <c r="E11" s="4">
        <v>8.0</v>
      </c>
      <c r="F11" s="4">
        <v>1.0</v>
      </c>
      <c r="G11" s="4">
        <v>3.0</v>
      </c>
      <c r="H11" s="4">
        <v>0.0</v>
      </c>
      <c r="I11" s="4">
        <v>0.0</v>
      </c>
      <c r="K11" s="10" t="s">
        <v>29</v>
      </c>
      <c r="L11" s="10"/>
      <c r="M11" s="25" t="s">
        <v>217</v>
      </c>
      <c r="N11" s="25">
        <v>1292181.19</v>
      </c>
      <c r="O11" s="25"/>
      <c r="P11" s="10"/>
      <c r="Q11" s="10"/>
    </row>
    <row r="12" spans="1:19">
      <c r="A12" s="6">
        <v>19</v>
      </c>
      <c r="B12" s="4" t="s">
        <v>39</v>
      </c>
      <c r="C12" s="4">
        <v>0</v>
      </c>
      <c r="D12" s="4">
        <v>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>
        <v>1</v>
      </c>
      <c r="C13" s="4">
        <v>1</v>
      </c>
      <c r="D13" s="4">
        <v>12</v>
      </c>
      <c r="E13" s="4">
        <v>8.0</v>
      </c>
      <c r="F13" s="4">
        <v>1.0</v>
      </c>
      <c r="G13" s="4">
        <v>3.0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>
        <v>2</v>
      </c>
      <c r="C14" s="4">
        <v>1</v>
      </c>
      <c r="D14" s="4">
        <v>12</v>
      </c>
      <c r="E14" s="4">
        <v>8.0</v>
      </c>
      <c r="F14" s="4">
        <v>1.0</v>
      </c>
      <c r="G14" s="4">
        <v>3.0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1615226.0</v>
      </c>
      <c r="P14" s="10"/>
      <c r="Q14" s="10"/>
    </row>
    <row r="15" spans="1:19">
      <c r="A15" s="6">
        <v>22</v>
      </c>
      <c r="B15" s="4" t="s">
        <v>39</v>
      </c>
      <c r="C15" s="4">
        <v>0</v>
      </c>
      <c r="D15" s="4">
        <v>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 t="s">
        <v>39</v>
      </c>
      <c r="C16" s="4">
        <v>0</v>
      </c>
      <c r="D16" s="4">
        <v>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>
        <v>1</v>
      </c>
      <c r="C17" s="4">
        <v>1</v>
      </c>
      <c r="D17" s="4">
        <v>12</v>
      </c>
      <c r="E17" s="4">
        <v>8.0</v>
      </c>
      <c r="F17" s="4">
        <v>1.0</v>
      </c>
      <c r="G17" s="4">
        <v>3.0</v>
      </c>
      <c r="H17" s="4">
        <v>0.0</v>
      </c>
      <c r="I17" s="4">
        <v>0.0</v>
      </c>
      <c r="K17" s="10" t="s">
        <v>36</v>
      </c>
      <c r="L17" s="10"/>
      <c r="M17" s="27" t="s">
        <v>74</v>
      </c>
      <c r="N17" s="25">
        <v>66000</v>
      </c>
      <c r="O17" s="25"/>
      <c r="P17" s="10"/>
      <c r="Q17" s="10"/>
    </row>
    <row r="18" spans="1:19">
      <c r="A18" s="6">
        <v>25</v>
      </c>
      <c r="B18" s="4">
        <v>2</v>
      </c>
      <c r="C18" s="4">
        <v>1</v>
      </c>
      <c r="D18" s="4">
        <v>12</v>
      </c>
      <c r="E18" s="4">
        <v>8.0</v>
      </c>
      <c r="F18" s="4">
        <v>1.0</v>
      </c>
      <c r="G18" s="4">
        <v>3.0</v>
      </c>
      <c r="H18" s="4">
        <v>0.0</v>
      </c>
      <c r="I18" s="4">
        <v>0.0</v>
      </c>
      <c r="K18" s="10" t="s">
        <v>38</v>
      </c>
      <c r="L18" s="10"/>
      <c r="M18" s="27" t="s">
        <v>74</v>
      </c>
      <c r="N18" s="25">
        <v>110000</v>
      </c>
      <c r="O18" s="25"/>
      <c r="P18" s="10"/>
      <c r="Q18" s="10"/>
    </row>
    <row r="19" spans="1:19">
      <c r="A19" s="6">
        <v>26</v>
      </c>
      <c r="B19" s="4" t="s">
        <v>39</v>
      </c>
      <c r="C19" s="4">
        <v>0</v>
      </c>
      <c r="D19" s="4">
        <v>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K19" s="10" t="s">
        <v>40</v>
      </c>
      <c r="L19" s="10"/>
      <c r="M19" s="27" t="s">
        <v>80</v>
      </c>
      <c r="N19" s="25">
        <v>0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 t="s">
        <v>39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 t="s">
        <v>39</v>
      </c>
      <c r="C22" s="4">
        <v>0</v>
      </c>
      <c r="D22" s="4">
        <v>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176000</v>
      </c>
      <c r="P22" s="10"/>
      <c r="Q22" s="10"/>
    </row>
    <row r="23" spans="1:19">
      <c r="A23" s="6">
        <v>30</v>
      </c>
      <c r="B23" s="4" t="s">
        <v>39</v>
      </c>
      <c r="C23" s="4">
        <v>0</v>
      </c>
      <c r="D23" s="4">
        <v>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>
        <v>1</v>
      </c>
      <c r="C24" s="4">
        <v>1</v>
      </c>
      <c r="D24" s="4">
        <v>12</v>
      </c>
      <c r="E24" s="4">
        <v>8.0</v>
      </c>
      <c r="F24" s="4">
        <v>1.0</v>
      </c>
      <c r="G24" s="4">
        <v>3.0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>
        <v>2</v>
      </c>
      <c r="C25" s="4">
        <v>1</v>
      </c>
      <c r="D25" s="4">
        <v>12</v>
      </c>
      <c r="E25" s="4">
        <v>8.0</v>
      </c>
      <c r="F25" s="4">
        <v>1.0</v>
      </c>
      <c r="G25" s="4">
        <v>3.0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 t="s">
        <v>39</v>
      </c>
      <c r="C26" s="4">
        <v>0</v>
      </c>
      <c r="D26" s="4">
        <v>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>
        <v>1</v>
      </c>
      <c r="C27" s="4">
        <v>1</v>
      </c>
      <c r="D27" s="4">
        <v>12</v>
      </c>
      <c r="E27" s="4">
        <v>8.0</v>
      </c>
      <c r="F27" s="4">
        <v>1.0</v>
      </c>
      <c r="G27" s="4">
        <v>3.0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>
        <v>2</v>
      </c>
      <c r="C28" s="4">
        <v>1</v>
      </c>
      <c r="D28" s="4">
        <v>12</v>
      </c>
      <c r="E28" s="4">
        <v>8.0</v>
      </c>
      <c r="F28" s="4">
        <v>1.0</v>
      </c>
      <c r="G28" s="4">
        <v>3.0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 t="s">
        <v>39</v>
      </c>
      <c r="C29" s="4">
        <v>0</v>
      </c>
      <c r="D29" s="4">
        <v>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3858700.73</v>
      </c>
      <c r="P29" s="10"/>
      <c r="Q29" s="10"/>
    </row>
    <row r="30" spans="1:19">
      <c r="A30" s="6">
        <v>7</v>
      </c>
      <c r="B30" s="4" t="s">
        <v>39</v>
      </c>
      <c r="C30" s="4">
        <v>0</v>
      </c>
      <c r="D30" s="4">
        <v>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>
        <v>1</v>
      </c>
      <c r="C31" s="4">
        <v>1</v>
      </c>
      <c r="D31" s="4">
        <v>12</v>
      </c>
      <c r="E31" s="4">
        <v>8.0</v>
      </c>
      <c r="F31" s="4">
        <v>1.0</v>
      </c>
      <c r="G31" s="4">
        <v>3.0</v>
      </c>
      <c r="H31" s="4">
        <v>0.0</v>
      </c>
      <c r="I31" s="4">
        <v>0.0</v>
      </c>
      <c r="K31" s="10" t="s">
        <v>50</v>
      </c>
      <c r="L31" s="10"/>
      <c r="M31" s="28" t="s">
        <v>51</v>
      </c>
      <c r="N31" s="28" t="s">
        <v>52</v>
      </c>
      <c r="O31" s="25">
        <f>ROUNDDOWN(-(0.00),0)</f>
        <v>0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39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 t="s">
        <v>39</v>
      </c>
      <c r="C37" s="4">
        <v>0</v>
      </c>
      <c r="D37" s="4">
        <v>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3518638.0</v>
      </c>
      <c r="P37" s="10"/>
      <c r="Q37" s="10"/>
    </row>
    <row r="38" spans="1:19">
      <c r="A38" s="6">
        <v>15</v>
      </c>
      <c r="B38" s="4" t="s">
        <v>39</v>
      </c>
      <c r="C38" s="4">
        <v>0</v>
      </c>
      <c r="D38" s="4">
        <v>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11</v>
      </c>
      <c r="D39" s="9">
        <v>132</v>
      </c>
      <c r="E39" s="9">
        <v>88.0</v>
      </c>
      <c r="F39" s="9">
        <v>11.0</v>
      </c>
      <c r="G39" s="9">
        <v>33.0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44.0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-38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3518600.0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262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265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266</v>
      </c>
      <c r="N4" s="10" t="s">
        <v>5</v>
      </c>
      <c r="O4" s="10">
        <v>251100082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113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128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267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>
        <v>1</v>
      </c>
      <c r="C9" s="4">
        <v>1</v>
      </c>
      <c r="D9" s="4">
        <v>12</v>
      </c>
      <c r="E9" s="4">
        <v>8.0</v>
      </c>
      <c r="F9" s="4">
        <v>1.0</v>
      </c>
      <c r="G9" s="4">
        <v>3.0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2540311.0</v>
      </c>
      <c r="P9" s="10"/>
      <c r="Q9" s="10"/>
    </row>
    <row r="10" spans="1:19">
      <c r="A10" s="6">
        <v>17</v>
      </c>
      <c r="B10" s="4">
        <v>2</v>
      </c>
      <c r="C10" s="4">
        <v>1</v>
      </c>
      <c r="D10" s="4">
        <v>12</v>
      </c>
      <c r="E10" s="4">
        <v>8.0</v>
      </c>
      <c r="F10" s="4">
        <v>1.0</v>
      </c>
      <c r="G10" s="4">
        <v>3.0</v>
      </c>
      <c r="H10" s="4">
        <v>0.0</v>
      </c>
      <c r="I10" s="4">
        <v>0.0</v>
      </c>
      <c r="K10" s="10" t="s">
        <v>27</v>
      </c>
      <c r="L10" s="10"/>
      <c r="M10" s="25" t="s">
        <v>268</v>
      </c>
      <c r="N10" s="25">
        <v>440516.32</v>
      </c>
      <c r="O10" s="25"/>
      <c r="P10" s="10"/>
      <c r="Q10" s="10"/>
    </row>
    <row r="11" spans="1:19">
      <c r="A11" s="6">
        <v>18</v>
      </c>
      <c r="B11" s="4">
        <v>3</v>
      </c>
      <c r="C11" s="4">
        <v>1</v>
      </c>
      <c r="D11" s="4">
        <v>12</v>
      </c>
      <c r="E11" s="4">
        <v>8.0</v>
      </c>
      <c r="F11" s="4">
        <v>1.0</v>
      </c>
      <c r="G11" s="4">
        <v>3.0</v>
      </c>
      <c r="H11" s="4">
        <v>0.0</v>
      </c>
      <c r="I11" s="4">
        <v>0.0</v>
      </c>
      <c r="K11" s="10" t="s">
        <v>29</v>
      </c>
      <c r="L11" s="10"/>
      <c r="M11" s="25" t="s">
        <v>269</v>
      </c>
      <c r="N11" s="25">
        <v>1762065.26</v>
      </c>
      <c r="O11" s="25"/>
      <c r="P11" s="10"/>
      <c r="Q11" s="10"/>
    </row>
    <row r="12" spans="1:19">
      <c r="A12" s="6">
        <v>19</v>
      </c>
      <c r="B12" s="4">
        <v>4</v>
      </c>
      <c r="C12" s="4">
        <v>1</v>
      </c>
      <c r="D12" s="4">
        <v>12</v>
      </c>
      <c r="E12" s="4">
        <v>8.0</v>
      </c>
      <c r="F12" s="4">
        <v>1.0</v>
      </c>
      <c r="G12" s="4">
        <v>3.0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>
        <v>5</v>
      </c>
      <c r="C13" s="4">
        <v>1</v>
      </c>
      <c r="D13" s="4">
        <v>12</v>
      </c>
      <c r="E13" s="4">
        <v>8.0</v>
      </c>
      <c r="F13" s="4">
        <v>1.0</v>
      </c>
      <c r="G13" s="4">
        <v>3.0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>
        <v>6</v>
      </c>
      <c r="C14" s="4">
        <v>1</v>
      </c>
      <c r="D14" s="4">
        <v>12</v>
      </c>
      <c r="E14" s="4">
        <v>8.0</v>
      </c>
      <c r="F14" s="4">
        <v>1.0</v>
      </c>
      <c r="G14" s="4">
        <v>3.0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2202582.0</v>
      </c>
      <c r="P14" s="10"/>
      <c r="Q14" s="10"/>
    </row>
    <row r="15" spans="1:19">
      <c r="A15" s="6">
        <v>22</v>
      </c>
      <c r="B15" s="4">
        <v>7</v>
      </c>
      <c r="C15" s="4">
        <v>1</v>
      </c>
      <c r="D15" s="4">
        <v>12</v>
      </c>
      <c r="E15" s="4">
        <v>8.0</v>
      </c>
      <c r="F15" s="4">
        <v>1.0</v>
      </c>
      <c r="G15" s="4">
        <v>3.0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>
        <v>8</v>
      </c>
      <c r="C16" s="4">
        <v>1</v>
      </c>
      <c r="D16" s="4">
        <v>12</v>
      </c>
      <c r="E16" s="4">
        <v>8.0</v>
      </c>
      <c r="F16" s="4">
        <v>1.0</v>
      </c>
      <c r="G16" s="4">
        <v>3.0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>
        <v>9</v>
      </c>
      <c r="C17" s="4">
        <v>1</v>
      </c>
      <c r="D17" s="4">
        <v>12</v>
      </c>
      <c r="E17" s="4">
        <v>8.0</v>
      </c>
      <c r="F17" s="4">
        <v>1.0</v>
      </c>
      <c r="G17" s="4">
        <v>3.0</v>
      </c>
      <c r="H17" s="4">
        <v>0.0</v>
      </c>
      <c r="I17" s="4">
        <v>0.0</v>
      </c>
      <c r="K17" s="10" t="s">
        <v>36</v>
      </c>
      <c r="L17" s="10"/>
      <c r="M17" s="27" t="s">
        <v>270</v>
      </c>
      <c r="N17" s="25">
        <v>90000</v>
      </c>
      <c r="O17" s="25"/>
      <c r="P17" s="10"/>
      <c r="Q17" s="10"/>
    </row>
    <row r="18" spans="1:19">
      <c r="A18" s="6">
        <v>25</v>
      </c>
      <c r="B18" s="4">
        <v>1</v>
      </c>
      <c r="C18" s="4">
        <v>1</v>
      </c>
      <c r="D18" s="4">
        <v>12</v>
      </c>
      <c r="E18" s="4">
        <v>8.0</v>
      </c>
      <c r="F18" s="4">
        <v>1.0</v>
      </c>
      <c r="G18" s="4">
        <v>3.0</v>
      </c>
      <c r="H18" s="4">
        <v>0.0</v>
      </c>
      <c r="I18" s="4">
        <v>0.0</v>
      </c>
      <c r="K18" s="10" t="s">
        <v>38</v>
      </c>
      <c r="L18" s="10"/>
      <c r="M18" s="27" t="s">
        <v>270</v>
      </c>
      <c r="N18" s="25">
        <v>150000</v>
      </c>
      <c r="O18" s="25"/>
      <c r="P18" s="10"/>
      <c r="Q18" s="10"/>
    </row>
    <row r="19" spans="1:19">
      <c r="A19" s="6">
        <v>26</v>
      </c>
      <c r="B19" s="4">
        <v>2</v>
      </c>
      <c r="C19" s="4">
        <v>1</v>
      </c>
      <c r="D19" s="4">
        <v>12</v>
      </c>
      <c r="E19" s="4">
        <v>8.0</v>
      </c>
      <c r="F19" s="4">
        <v>1.0</v>
      </c>
      <c r="G19" s="4">
        <v>3.0</v>
      </c>
      <c r="H19" s="4">
        <v>0.0</v>
      </c>
      <c r="I19" s="4">
        <v>0.0</v>
      </c>
      <c r="K19" s="10" t="s">
        <v>40</v>
      </c>
      <c r="L19" s="10"/>
      <c r="M19" s="27" t="s">
        <v>80</v>
      </c>
      <c r="N19" s="25">
        <v>0</v>
      </c>
      <c r="O19" s="25"/>
      <c r="P19" s="10"/>
      <c r="Q19" s="10"/>
    </row>
    <row r="20" spans="1:19">
      <c r="A20" s="6">
        <v>27</v>
      </c>
      <c r="B20" s="4">
        <v>3</v>
      </c>
      <c r="C20" s="4">
        <v>1</v>
      </c>
      <c r="D20" s="4">
        <v>12</v>
      </c>
      <c r="E20" s="4">
        <v>8.0</v>
      </c>
      <c r="F20" s="4">
        <v>1.0</v>
      </c>
      <c r="G20" s="4">
        <v>3.0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>
        <v>4</v>
      </c>
      <c r="C21" s="4">
        <v>1</v>
      </c>
      <c r="D21" s="4">
        <v>12</v>
      </c>
      <c r="E21" s="4">
        <v>8.0</v>
      </c>
      <c r="F21" s="4">
        <v>1.0</v>
      </c>
      <c r="G21" s="4">
        <v>3.0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>
        <v>5</v>
      </c>
      <c r="C22" s="4">
        <v>1</v>
      </c>
      <c r="D22" s="4">
        <v>12</v>
      </c>
      <c r="E22" s="4">
        <v>8.0</v>
      </c>
      <c r="F22" s="4">
        <v>1.0</v>
      </c>
      <c r="G22" s="4">
        <v>3.0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240000</v>
      </c>
      <c r="P22" s="10"/>
      <c r="Q22" s="10"/>
    </row>
    <row r="23" spans="1:19">
      <c r="A23" s="6">
        <v>30</v>
      </c>
      <c r="B23" s="4">
        <v>6</v>
      </c>
      <c r="C23" s="4">
        <v>1</v>
      </c>
      <c r="D23" s="4">
        <v>12</v>
      </c>
      <c r="E23" s="4">
        <v>8.0</v>
      </c>
      <c r="F23" s="4">
        <v>1.0</v>
      </c>
      <c r="G23" s="4">
        <v>3.0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 t="s">
        <v>39</v>
      </c>
      <c r="C24" s="4">
        <v>0</v>
      </c>
      <c r="D24" s="4">
        <v>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 t="s">
        <v>39</v>
      </c>
      <c r="C25" s="4">
        <v>0</v>
      </c>
      <c r="D25" s="4">
        <v>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 t="s">
        <v>39</v>
      </c>
      <c r="C26" s="4">
        <v>0</v>
      </c>
      <c r="D26" s="4">
        <v>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 t="s">
        <v>39</v>
      </c>
      <c r="C27" s="4">
        <v>0</v>
      </c>
      <c r="D27" s="4">
        <v>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 t="s">
        <v>39</v>
      </c>
      <c r="C28" s="4">
        <v>0</v>
      </c>
      <c r="D28" s="4">
        <v>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 t="s">
        <v>39</v>
      </c>
      <c r="C29" s="4">
        <v>0</v>
      </c>
      <c r="D29" s="4">
        <v>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5187472.02</v>
      </c>
      <c r="P29" s="10"/>
      <c r="Q29" s="10"/>
    </row>
    <row r="30" spans="1:19">
      <c r="A30" s="6">
        <v>7</v>
      </c>
      <c r="B30" s="4" t="s">
        <v>39</v>
      </c>
      <c r="C30" s="4">
        <v>0</v>
      </c>
      <c r="D30" s="4">
        <v>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134</v>
      </c>
      <c r="N31" s="28" t="s">
        <v>52</v>
      </c>
      <c r="O31" s="25">
        <f>ROUNDDOWN(-(0.00),0)</f>
        <v>0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39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 t="s">
        <v>39</v>
      </c>
      <c r="C37" s="4">
        <v>0</v>
      </c>
      <c r="D37" s="4">
        <v>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4847409.0</v>
      </c>
      <c r="P37" s="10"/>
      <c r="Q37" s="10"/>
    </row>
    <row r="38" spans="1:19">
      <c r="A38" s="6">
        <v>15</v>
      </c>
      <c r="B38" s="4" t="s">
        <v>39</v>
      </c>
      <c r="C38" s="4">
        <v>0</v>
      </c>
      <c r="D38" s="4">
        <v>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15</v>
      </c>
      <c r="D39" s="9">
        <v>180</v>
      </c>
      <c r="E39" s="9">
        <v>120.0</v>
      </c>
      <c r="F39" s="9">
        <v>15.0</v>
      </c>
      <c r="G39" s="9">
        <v>45.0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60.0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-9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4847400.0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266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271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272</v>
      </c>
      <c r="N4" s="10" t="s">
        <v>5</v>
      </c>
      <c r="O4" s="10">
        <v>251100046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68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19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273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 t="s">
        <v>39</v>
      </c>
      <c r="C9" s="4">
        <v>0</v>
      </c>
      <c r="D9" s="4">
        <v>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169354.0</v>
      </c>
      <c r="P9" s="10"/>
      <c r="Q9" s="10"/>
    </row>
    <row r="10" spans="1:19">
      <c r="A10" s="6">
        <v>17</v>
      </c>
      <c r="B10" s="4" t="s">
        <v>39</v>
      </c>
      <c r="C10" s="4">
        <v>0</v>
      </c>
      <c r="D10" s="4">
        <v>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K10" s="10" t="s">
        <v>27</v>
      </c>
      <c r="L10" s="10"/>
      <c r="M10" s="25" t="s">
        <v>274</v>
      </c>
      <c r="N10" s="25">
        <v>29367.75</v>
      </c>
      <c r="O10" s="25"/>
      <c r="P10" s="10"/>
      <c r="Q10" s="10"/>
    </row>
    <row r="11" spans="1:19">
      <c r="A11" s="6">
        <v>18</v>
      </c>
      <c r="B11" s="4" t="s">
        <v>39</v>
      </c>
      <c r="C11" s="4">
        <v>0</v>
      </c>
      <c r="D11" s="4">
        <v>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K11" s="10" t="s">
        <v>29</v>
      </c>
      <c r="L11" s="10"/>
      <c r="M11" s="25" t="s">
        <v>275</v>
      </c>
      <c r="N11" s="25">
        <v>117471.02</v>
      </c>
      <c r="O11" s="25"/>
      <c r="P11" s="10"/>
      <c r="Q11" s="10"/>
    </row>
    <row r="12" spans="1:19">
      <c r="A12" s="6">
        <v>19</v>
      </c>
      <c r="B12" s="4" t="s">
        <v>39</v>
      </c>
      <c r="C12" s="4">
        <v>0</v>
      </c>
      <c r="D12" s="4">
        <v>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 t="s">
        <v>39</v>
      </c>
      <c r="C13" s="4">
        <v>0</v>
      </c>
      <c r="D13" s="4">
        <v>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>
        <v>1</v>
      </c>
      <c r="C14" s="4">
        <v>1</v>
      </c>
      <c r="D14" s="4">
        <v>12</v>
      </c>
      <c r="E14" s="4">
        <v>8.0</v>
      </c>
      <c r="F14" s="4">
        <v>1.0</v>
      </c>
      <c r="G14" s="4">
        <v>3.0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146839.0</v>
      </c>
      <c r="P14" s="10"/>
      <c r="Q14" s="10"/>
    </row>
    <row r="15" spans="1:19">
      <c r="A15" s="6">
        <v>22</v>
      </c>
      <c r="B15" s="4" t="s">
        <v>39</v>
      </c>
      <c r="C15" s="4">
        <v>0</v>
      </c>
      <c r="D15" s="4">
        <v>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 t="s">
        <v>39</v>
      </c>
      <c r="C16" s="4">
        <v>0</v>
      </c>
      <c r="D16" s="4">
        <v>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 t="s">
        <v>39</v>
      </c>
      <c r="C17" s="4">
        <v>0</v>
      </c>
      <c r="D17" s="4">
        <v>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K17" s="10" t="s">
        <v>36</v>
      </c>
      <c r="L17" s="10"/>
      <c r="M17" s="27" t="s">
        <v>101</v>
      </c>
      <c r="N17" s="25">
        <v>6000</v>
      </c>
      <c r="O17" s="25"/>
      <c r="P17" s="10"/>
      <c r="Q17" s="10"/>
    </row>
    <row r="18" spans="1:19">
      <c r="A18" s="6">
        <v>25</v>
      </c>
      <c r="B18" s="4" t="s">
        <v>39</v>
      </c>
      <c r="C18" s="4">
        <v>0</v>
      </c>
      <c r="D18" s="4">
        <v>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K18" s="10" t="s">
        <v>38</v>
      </c>
      <c r="L18" s="10"/>
      <c r="M18" s="27" t="s">
        <v>101</v>
      </c>
      <c r="N18" s="25">
        <v>10000</v>
      </c>
      <c r="O18" s="25"/>
      <c r="P18" s="10"/>
      <c r="Q18" s="10"/>
    </row>
    <row r="19" spans="1:19">
      <c r="A19" s="6">
        <v>26</v>
      </c>
      <c r="B19" s="4" t="s">
        <v>39</v>
      </c>
      <c r="C19" s="4">
        <v>0</v>
      </c>
      <c r="D19" s="4">
        <v>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K19" s="10" t="s">
        <v>40</v>
      </c>
      <c r="L19" s="10"/>
      <c r="M19" s="27" t="s">
        <v>80</v>
      </c>
      <c r="N19" s="25">
        <v>0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 t="s">
        <v>39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 t="s">
        <v>39</v>
      </c>
      <c r="C22" s="4">
        <v>0</v>
      </c>
      <c r="D22" s="4">
        <v>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16000</v>
      </c>
      <c r="P22" s="10"/>
      <c r="Q22" s="10"/>
    </row>
    <row r="23" spans="1:19">
      <c r="A23" s="6">
        <v>30</v>
      </c>
      <c r="B23" s="4" t="s">
        <v>39</v>
      </c>
      <c r="C23" s="4">
        <v>0</v>
      </c>
      <c r="D23" s="4">
        <v>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 t="s">
        <v>39</v>
      </c>
      <c r="C24" s="4">
        <v>0</v>
      </c>
      <c r="D24" s="4">
        <v>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 t="s">
        <v>39</v>
      </c>
      <c r="C25" s="4">
        <v>0</v>
      </c>
      <c r="D25" s="4">
        <v>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 t="s">
        <v>39</v>
      </c>
      <c r="C26" s="4">
        <v>0</v>
      </c>
      <c r="D26" s="4">
        <v>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 t="s">
        <v>39</v>
      </c>
      <c r="C27" s="4">
        <v>0</v>
      </c>
      <c r="D27" s="4">
        <v>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 t="s">
        <v>39</v>
      </c>
      <c r="C28" s="4">
        <v>0</v>
      </c>
      <c r="D28" s="4">
        <v>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 t="s">
        <v>39</v>
      </c>
      <c r="C29" s="4">
        <v>0</v>
      </c>
      <c r="D29" s="4">
        <v>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536772.51</v>
      </c>
      <c r="P29" s="10"/>
      <c r="Q29" s="10"/>
    </row>
    <row r="30" spans="1:19">
      <c r="A30" s="6">
        <v>7</v>
      </c>
      <c r="B30" s="4" t="s">
        <v>39</v>
      </c>
      <c r="C30" s="4">
        <v>0</v>
      </c>
      <c r="D30" s="4">
        <v>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51</v>
      </c>
      <c r="N31" s="28" t="s">
        <v>52</v>
      </c>
      <c r="O31" s="25">
        <f>ROUNDDOWN(-(0.00),0)</f>
        <v>0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39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 t="s">
        <v>39</v>
      </c>
      <c r="C37" s="4">
        <v>0</v>
      </c>
      <c r="D37" s="4">
        <v>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196710.0</v>
      </c>
      <c r="P37" s="10"/>
      <c r="Q37" s="10"/>
    </row>
    <row r="38" spans="1:19">
      <c r="A38" s="6">
        <v>15</v>
      </c>
      <c r="B38" s="4" t="s">
        <v>39</v>
      </c>
      <c r="C38" s="4">
        <v>0</v>
      </c>
      <c r="D38" s="4">
        <v>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1</v>
      </c>
      <c r="D39" s="9">
        <v>12</v>
      </c>
      <c r="E39" s="9">
        <v>8.0</v>
      </c>
      <c r="F39" s="9">
        <v>1.0</v>
      </c>
      <c r="G39" s="9">
        <v>3.0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4.0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-10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196700.0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272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276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277</v>
      </c>
      <c r="N4" s="10" t="s">
        <v>5</v>
      </c>
      <c r="O4" s="10">
        <v>251200006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278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19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279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>
        <v>1</v>
      </c>
      <c r="C9" s="4">
        <v>1</v>
      </c>
      <c r="D9" s="4">
        <v>12</v>
      </c>
      <c r="E9" s="4">
        <v>8.0</v>
      </c>
      <c r="F9" s="4">
        <v>1.0</v>
      </c>
      <c r="G9" s="4">
        <v>3.0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2879019.0</v>
      </c>
      <c r="P9" s="10"/>
      <c r="Q9" s="10"/>
    </row>
    <row r="10" spans="1:19">
      <c r="A10" s="6">
        <v>17</v>
      </c>
      <c r="B10" s="4">
        <v>2</v>
      </c>
      <c r="C10" s="4">
        <v>1</v>
      </c>
      <c r="D10" s="4">
        <v>12</v>
      </c>
      <c r="E10" s="4">
        <v>8.0</v>
      </c>
      <c r="F10" s="4">
        <v>1.0</v>
      </c>
      <c r="G10" s="4">
        <v>3.0</v>
      </c>
      <c r="H10" s="4">
        <v>0.0</v>
      </c>
      <c r="I10" s="4">
        <v>0.0</v>
      </c>
      <c r="K10" s="10" t="s">
        <v>27</v>
      </c>
      <c r="L10" s="10"/>
      <c r="M10" s="25" t="s">
        <v>130</v>
      </c>
      <c r="N10" s="25">
        <v>499251.82</v>
      </c>
      <c r="O10" s="25"/>
      <c r="P10" s="10"/>
      <c r="Q10" s="10"/>
    </row>
    <row r="11" spans="1:19">
      <c r="A11" s="6">
        <v>18</v>
      </c>
      <c r="B11" s="4">
        <v>3</v>
      </c>
      <c r="C11" s="4">
        <v>1</v>
      </c>
      <c r="D11" s="4">
        <v>12</v>
      </c>
      <c r="E11" s="4">
        <v>8.0</v>
      </c>
      <c r="F11" s="4">
        <v>1.0</v>
      </c>
      <c r="G11" s="4">
        <v>3.0</v>
      </c>
      <c r="H11" s="4">
        <v>0.0</v>
      </c>
      <c r="I11" s="4">
        <v>0.0</v>
      </c>
      <c r="K11" s="10" t="s">
        <v>29</v>
      </c>
      <c r="L11" s="10"/>
      <c r="M11" s="25" t="s">
        <v>131</v>
      </c>
      <c r="N11" s="25">
        <v>1997007.29</v>
      </c>
      <c r="O11" s="25"/>
      <c r="P11" s="10"/>
      <c r="Q11" s="10"/>
    </row>
    <row r="12" spans="1:19">
      <c r="A12" s="6">
        <v>19</v>
      </c>
      <c r="B12" s="4">
        <v>4</v>
      </c>
      <c r="C12" s="4">
        <v>1</v>
      </c>
      <c r="D12" s="4">
        <v>12</v>
      </c>
      <c r="E12" s="4">
        <v>8.0</v>
      </c>
      <c r="F12" s="4">
        <v>1.0</v>
      </c>
      <c r="G12" s="4">
        <v>3.0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>
        <v>5</v>
      </c>
      <c r="C13" s="4">
        <v>1</v>
      </c>
      <c r="D13" s="4">
        <v>12</v>
      </c>
      <c r="E13" s="4">
        <v>8.0</v>
      </c>
      <c r="F13" s="4">
        <v>1.0</v>
      </c>
      <c r="G13" s="4">
        <v>3.0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>
        <v>6</v>
      </c>
      <c r="C14" s="4">
        <v>1</v>
      </c>
      <c r="D14" s="4">
        <v>12</v>
      </c>
      <c r="E14" s="4">
        <v>8.0</v>
      </c>
      <c r="F14" s="4">
        <v>1.0</v>
      </c>
      <c r="G14" s="4">
        <v>3.0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2496259.0</v>
      </c>
      <c r="P14" s="10"/>
      <c r="Q14" s="10"/>
    </row>
    <row r="15" spans="1:19">
      <c r="A15" s="6">
        <v>22</v>
      </c>
      <c r="B15" s="4">
        <v>7</v>
      </c>
      <c r="C15" s="4">
        <v>1</v>
      </c>
      <c r="D15" s="4">
        <v>12</v>
      </c>
      <c r="E15" s="4">
        <v>8.0</v>
      </c>
      <c r="F15" s="4">
        <v>1.0</v>
      </c>
      <c r="G15" s="4">
        <v>3.0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>
        <v>8</v>
      </c>
      <c r="C16" s="4">
        <v>1</v>
      </c>
      <c r="D16" s="4">
        <v>12</v>
      </c>
      <c r="E16" s="4">
        <v>8.0</v>
      </c>
      <c r="F16" s="4">
        <v>1.0</v>
      </c>
      <c r="G16" s="4">
        <v>3.0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>
        <v>9</v>
      </c>
      <c r="C17" s="4">
        <v>1</v>
      </c>
      <c r="D17" s="4">
        <v>12</v>
      </c>
      <c r="E17" s="4">
        <v>8.0</v>
      </c>
      <c r="F17" s="4">
        <v>1.0</v>
      </c>
      <c r="G17" s="4">
        <v>3.0</v>
      </c>
      <c r="H17" s="4">
        <v>0.0</v>
      </c>
      <c r="I17" s="4">
        <v>0.0</v>
      </c>
      <c r="K17" s="10" t="s">
        <v>36</v>
      </c>
      <c r="L17" s="10"/>
      <c r="M17" s="27" t="s">
        <v>132</v>
      </c>
      <c r="N17" s="25">
        <v>102000</v>
      </c>
      <c r="O17" s="25"/>
      <c r="P17" s="10"/>
      <c r="Q17" s="10"/>
    </row>
    <row r="18" spans="1:19">
      <c r="A18" s="6">
        <v>25</v>
      </c>
      <c r="B18" s="4">
        <v>1</v>
      </c>
      <c r="C18" s="4">
        <v>1</v>
      </c>
      <c r="D18" s="4">
        <v>12</v>
      </c>
      <c r="E18" s="4">
        <v>8.0</v>
      </c>
      <c r="F18" s="4">
        <v>1.0</v>
      </c>
      <c r="G18" s="4">
        <v>3.0</v>
      </c>
      <c r="H18" s="4">
        <v>0.0</v>
      </c>
      <c r="I18" s="4">
        <v>0.0</v>
      </c>
      <c r="K18" s="10" t="s">
        <v>38</v>
      </c>
      <c r="L18" s="10"/>
      <c r="M18" s="27" t="s">
        <v>132</v>
      </c>
      <c r="N18" s="25">
        <v>170000</v>
      </c>
      <c r="O18" s="25"/>
      <c r="P18" s="10"/>
      <c r="Q18" s="10"/>
    </row>
    <row r="19" spans="1:19">
      <c r="A19" s="6">
        <v>26</v>
      </c>
      <c r="B19" s="4">
        <v>2</v>
      </c>
      <c r="C19" s="4">
        <v>1</v>
      </c>
      <c r="D19" s="4">
        <v>12</v>
      </c>
      <c r="E19" s="4">
        <v>8.0</v>
      </c>
      <c r="F19" s="4">
        <v>1.0</v>
      </c>
      <c r="G19" s="4">
        <v>3.0</v>
      </c>
      <c r="H19" s="4">
        <v>0.0</v>
      </c>
      <c r="I19" s="4">
        <v>0.0</v>
      </c>
      <c r="K19" s="10" t="s">
        <v>40</v>
      </c>
      <c r="L19" s="10"/>
      <c r="M19" s="27" t="s">
        <v>80</v>
      </c>
      <c r="N19" s="25">
        <v>0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 t="s">
        <v>39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 t="s">
        <v>39</v>
      </c>
      <c r="C22" s="4">
        <v>0</v>
      </c>
      <c r="D22" s="4">
        <v>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272000</v>
      </c>
      <c r="P22" s="10"/>
      <c r="Q22" s="10"/>
    </row>
    <row r="23" spans="1:19">
      <c r="A23" s="6">
        <v>30</v>
      </c>
      <c r="B23" s="4">
        <v>1</v>
      </c>
      <c r="C23" s="4">
        <v>1</v>
      </c>
      <c r="D23" s="4">
        <v>12</v>
      </c>
      <c r="E23" s="4">
        <v>8.0</v>
      </c>
      <c r="F23" s="4">
        <v>1.0</v>
      </c>
      <c r="G23" s="4">
        <v>3.0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>
        <v>2</v>
      </c>
      <c r="C24" s="4">
        <v>1</v>
      </c>
      <c r="D24" s="4">
        <v>12</v>
      </c>
      <c r="E24" s="4">
        <v>8.0</v>
      </c>
      <c r="F24" s="4">
        <v>1.0</v>
      </c>
      <c r="G24" s="4">
        <v>3.0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>
        <v>3</v>
      </c>
      <c r="C25" s="4">
        <v>1</v>
      </c>
      <c r="D25" s="4">
        <v>12</v>
      </c>
      <c r="E25" s="4">
        <v>8.0</v>
      </c>
      <c r="F25" s="4">
        <v>1.0</v>
      </c>
      <c r="G25" s="4">
        <v>3.0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>
        <v>4</v>
      </c>
      <c r="C26" s="4">
        <v>1</v>
      </c>
      <c r="D26" s="4">
        <v>12</v>
      </c>
      <c r="E26" s="4">
        <v>8.0</v>
      </c>
      <c r="F26" s="4">
        <v>1.0</v>
      </c>
      <c r="G26" s="4">
        <v>3.0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>
        <v>5</v>
      </c>
      <c r="C27" s="4">
        <v>1</v>
      </c>
      <c r="D27" s="4">
        <v>12</v>
      </c>
      <c r="E27" s="4">
        <v>8.0</v>
      </c>
      <c r="F27" s="4">
        <v>1.0</v>
      </c>
      <c r="G27" s="4">
        <v>3.0</v>
      </c>
      <c r="H27" s="4">
        <v>0.0</v>
      </c>
      <c r="I27" s="4">
        <v>0.0</v>
      </c>
      <c r="K27" s="10" t="s">
        <v>47</v>
      </c>
      <c r="L27" s="10"/>
      <c r="M27" s="25"/>
      <c r="N27" s="25">
        <v>3654121</v>
      </c>
      <c r="O27" s="25"/>
      <c r="P27" s="10"/>
      <c r="Q27" s="10"/>
    </row>
    <row r="28" spans="1:19">
      <c r="A28" s="6">
        <v>5</v>
      </c>
      <c r="B28" s="4">
        <v>6</v>
      </c>
      <c r="C28" s="4">
        <v>1</v>
      </c>
      <c r="D28" s="4">
        <v>12</v>
      </c>
      <c r="E28" s="4">
        <v>8.0</v>
      </c>
      <c r="F28" s="4">
        <v>1.0</v>
      </c>
      <c r="G28" s="4">
        <v>3.0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 t="s">
        <v>39</v>
      </c>
      <c r="C29" s="4">
        <v>0</v>
      </c>
      <c r="D29" s="4">
        <v>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9505978.65</v>
      </c>
      <c r="P29" s="10"/>
      <c r="Q29" s="10"/>
    </row>
    <row r="30" spans="1:19">
      <c r="A30" s="6">
        <v>7</v>
      </c>
      <c r="B30" s="4" t="s">
        <v>39</v>
      </c>
      <c r="C30" s="4">
        <v>0</v>
      </c>
      <c r="D30" s="4">
        <v>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51</v>
      </c>
      <c r="N31" s="28" t="s">
        <v>280</v>
      </c>
      <c r="O31" s="25">
        <f>ROUNDDOWN(-(166354.00),0)</f>
        <v>-166354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39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 t="s">
        <v>39</v>
      </c>
      <c r="C37" s="4">
        <v>0</v>
      </c>
      <c r="D37" s="4">
        <v>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8999562.0</v>
      </c>
      <c r="P37" s="10"/>
      <c r="Q37" s="10"/>
    </row>
    <row r="38" spans="1:19">
      <c r="A38" s="6">
        <v>15</v>
      </c>
      <c r="B38" s="4" t="s">
        <v>39</v>
      </c>
      <c r="C38" s="4">
        <v>0</v>
      </c>
      <c r="D38" s="4">
        <v>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17</v>
      </c>
      <c r="D39" s="9">
        <v>204</v>
      </c>
      <c r="E39" s="9">
        <v>136.0</v>
      </c>
      <c r="F39" s="9">
        <v>17.0</v>
      </c>
      <c r="G39" s="9">
        <v>51.0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68.0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38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8999600.0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277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281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282</v>
      </c>
      <c r="N4" s="10" t="s">
        <v>5</v>
      </c>
      <c r="O4" s="10">
        <v>250700039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83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78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283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 t="s">
        <v>39</v>
      </c>
      <c r="C9" s="4">
        <v>0</v>
      </c>
      <c r="D9" s="4">
        <v>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1862895.0</v>
      </c>
      <c r="P9" s="10"/>
      <c r="Q9" s="10"/>
    </row>
    <row r="10" spans="1:19">
      <c r="A10" s="6">
        <v>17</v>
      </c>
      <c r="B10" s="4" t="s">
        <v>39</v>
      </c>
      <c r="C10" s="4">
        <v>0</v>
      </c>
      <c r="D10" s="4">
        <v>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K10" s="10" t="s">
        <v>27</v>
      </c>
      <c r="L10" s="10"/>
      <c r="M10" s="25" t="s">
        <v>216</v>
      </c>
      <c r="N10" s="25">
        <v>323045.3</v>
      </c>
      <c r="O10" s="25"/>
      <c r="P10" s="10"/>
      <c r="Q10" s="10"/>
    </row>
    <row r="11" spans="1:19">
      <c r="A11" s="6">
        <v>18</v>
      </c>
      <c r="B11" s="4" t="s">
        <v>39</v>
      </c>
      <c r="C11" s="4">
        <v>0</v>
      </c>
      <c r="D11" s="4">
        <v>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K11" s="10" t="s">
        <v>29</v>
      </c>
      <c r="L11" s="10"/>
      <c r="M11" s="25" t="s">
        <v>217</v>
      </c>
      <c r="N11" s="25">
        <v>1292181.19</v>
      </c>
      <c r="O11" s="25"/>
      <c r="P11" s="10"/>
      <c r="Q11" s="10"/>
    </row>
    <row r="12" spans="1:19">
      <c r="A12" s="6">
        <v>19</v>
      </c>
      <c r="B12" s="4" t="s">
        <v>39</v>
      </c>
      <c r="C12" s="4">
        <v>0</v>
      </c>
      <c r="D12" s="4">
        <v>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 t="s">
        <v>39</v>
      </c>
      <c r="C13" s="4">
        <v>0</v>
      </c>
      <c r="D13" s="4">
        <v>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 t="s">
        <v>39</v>
      </c>
      <c r="C14" s="4">
        <v>0</v>
      </c>
      <c r="D14" s="4">
        <v>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1615226.0</v>
      </c>
      <c r="P14" s="10"/>
      <c r="Q14" s="10"/>
    </row>
    <row r="15" spans="1:19">
      <c r="A15" s="6">
        <v>22</v>
      </c>
      <c r="B15" s="4" t="s">
        <v>39</v>
      </c>
      <c r="C15" s="4">
        <v>0</v>
      </c>
      <c r="D15" s="4">
        <v>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 t="s">
        <v>39</v>
      </c>
      <c r="C16" s="4">
        <v>0</v>
      </c>
      <c r="D16" s="4">
        <v>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 t="s">
        <v>39</v>
      </c>
      <c r="C17" s="4">
        <v>0</v>
      </c>
      <c r="D17" s="4">
        <v>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K17" s="10" t="s">
        <v>36</v>
      </c>
      <c r="L17" s="10"/>
      <c r="M17" s="27" t="s">
        <v>74</v>
      </c>
      <c r="N17" s="25">
        <v>66000</v>
      </c>
      <c r="O17" s="25"/>
      <c r="P17" s="10"/>
      <c r="Q17" s="10"/>
    </row>
    <row r="18" spans="1:19">
      <c r="A18" s="6">
        <v>25</v>
      </c>
      <c r="B18" s="4">
        <v>1</v>
      </c>
      <c r="C18" s="4">
        <v>1</v>
      </c>
      <c r="D18" s="4">
        <v>12</v>
      </c>
      <c r="E18" s="4">
        <v>8.0</v>
      </c>
      <c r="F18" s="4">
        <v>1.0</v>
      </c>
      <c r="G18" s="4">
        <v>3.0</v>
      </c>
      <c r="H18" s="4">
        <v>0.0</v>
      </c>
      <c r="I18" s="4">
        <v>0.0</v>
      </c>
      <c r="K18" s="10" t="s">
        <v>38</v>
      </c>
      <c r="L18" s="10"/>
      <c r="M18" s="27" t="s">
        <v>74</v>
      </c>
      <c r="N18" s="25">
        <v>110000</v>
      </c>
      <c r="O18" s="25"/>
      <c r="P18" s="10"/>
      <c r="Q18" s="10"/>
    </row>
    <row r="19" spans="1:19">
      <c r="A19" s="6">
        <v>26</v>
      </c>
      <c r="B19" s="4">
        <v>2</v>
      </c>
      <c r="C19" s="4">
        <v>1</v>
      </c>
      <c r="D19" s="4">
        <v>12</v>
      </c>
      <c r="E19" s="4">
        <v>8.0</v>
      </c>
      <c r="F19" s="4">
        <v>1.0</v>
      </c>
      <c r="G19" s="4">
        <v>3.0</v>
      </c>
      <c r="H19" s="4">
        <v>0.0</v>
      </c>
      <c r="I19" s="4">
        <v>0.0</v>
      </c>
      <c r="K19" s="10" t="s">
        <v>40</v>
      </c>
      <c r="L19" s="10"/>
      <c r="M19" s="27" t="s">
        <v>80</v>
      </c>
      <c r="N19" s="25">
        <v>0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 t="s">
        <v>39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 t="s">
        <v>39</v>
      </c>
      <c r="C22" s="4">
        <v>0</v>
      </c>
      <c r="D22" s="4">
        <v>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176000</v>
      </c>
      <c r="P22" s="10"/>
      <c r="Q22" s="10"/>
    </row>
    <row r="23" spans="1:19">
      <c r="A23" s="6">
        <v>30</v>
      </c>
      <c r="B23" s="4" t="s">
        <v>39</v>
      </c>
      <c r="C23" s="4">
        <v>0</v>
      </c>
      <c r="D23" s="4">
        <v>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>
        <v>1</v>
      </c>
      <c r="C24" s="4">
        <v>1</v>
      </c>
      <c r="D24" s="4">
        <v>12</v>
      </c>
      <c r="E24" s="4">
        <v>8.0</v>
      </c>
      <c r="F24" s="4">
        <v>1.0</v>
      </c>
      <c r="G24" s="4">
        <v>3.0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>
        <v>2</v>
      </c>
      <c r="C25" s="4">
        <v>1</v>
      </c>
      <c r="D25" s="4">
        <v>12</v>
      </c>
      <c r="E25" s="4">
        <v>8.0</v>
      </c>
      <c r="F25" s="4">
        <v>1.0</v>
      </c>
      <c r="G25" s="4">
        <v>3.0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>
        <v>3</v>
      </c>
      <c r="C26" s="4">
        <v>1</v>
      </c>
      <c r="D26" s="4">
        <v>12</v>
      </c>
      <c r="E26" s="4">
        <v>8.0</v>
      </c>
      <c r="F26" s="4">
        <v>1.0</v>
      </c>
      <c r="G26" s="4">
        <v>3.0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>
        <v>4</v>
      </c>
      <c r="C27" s="4">
        <v>1</v>
      </c>
      <c r="D27" s="4">
        <v>12</v>
      </c>
      <c r="E27" s="4">
        <v>8.0</v>
      </c>
      <c r="F27" s="4">
        <v>1.0</v>
      </c>
      <c r="G27" s="4">
        <v>3.0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>
        <v>5</v>
      </c>
      <c r="C28" s="4">
        <v>1</v>
      </c>
      <c r="D28" s="4">
        <v>12</v>
      </c>
      <c r="E28" s="4">
        <v>8.0</v>
      </c>
      <c r="F28" s="4">
        <v>1.0</v>
      </c>
      <c r="G28" s="4">
        <v>3.0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>
        <v>6</v>
      </c>
      <c r="C29" s="4">
        <v>1</v>
      </c>
      <c r="D29" s="4">
        <v>12</v>
      </c>
      <c r="E29" s="4">
        <v>8.0</v>
      </c>
      <c r="F29" s="4">
        <v>1.0</v>
      </c>
      <c r="G29" s="4">
        <v>3.0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3858700.73</v>
      </c>
      <c r="P29" s="10"/>
      <c r="Q29" s="10"/>
    </row>
    <row r="30" spans="1:19">
      <c r="A30" s="6">
        <v>7</v>
      </c>
      <c r="B30" s="4">
        <v>7</v>
      </c>
      <c r="C30" s="4">
        <v>1</v>
      </c>
      <c r="D30" s="4">
        <v>12</v>
      </c>
      <c r="E30" s="4">
        <v>8.0</v>
      </c>
      <c r="F30" s="4">
        <v>1.0</v>
      </c>
      <c r="G30" s="4">
        <v>3.0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51</v>
      </c>
      <c r="N31" s="28" t="s">
        <v>52</v>
      </c>
      <c r="O31" s="25">
        <f>ROUNDDOWN(-(0.00),0)</f>
        <v>0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39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>
        <v>1</v>
      </c>
      <c r="C37" s="4">
        <v>1</v>
      </c>
      <c r="D37" s="4">
        <v>12</v>
      </c>
      <c r="E37" s="4">
        <v>8.0</v>
      </c>
      <c r="F37" s="4">
        <v>1.0</v>
      </c>
      <c r="G37" s="4">
        <v>3.0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3518638.0</v>
      </c>
      <c r="P37" s="10"/>
      <c r="Q37" s="10"/>
    </row>
    <row r="38" spans="1:19">
      <c r="A38" s="6">
        <v>15</v>
      </c>
      <c r="B38" s="4">
        <v>2</v>
      </c>
      <c r="C38" s="4">
        <v>1</v>
      </c>
      <c r="D38" s="4">
        <v>12</v>
      </c>
      <c r="E38" s="4">
        <v>8.0</v>
      </c>
      <c r="F38" s="4">
        <v>1.0</v>
      </c>
      <c r="G38" s="4">
        <v>3.0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11</v>
      </c>
      <c r="D39" s="9">
        <v>132</v>
      </c>
      <c r="E39" s="9">
        <v>88.0</v>
      </c>
      <c r="F39" s="9">
        <v>11.0</v>
      </c>
      <c r="G39" s="9">
        <v>33.0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44.0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-38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3518600.0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282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284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285</v>
      </c>
      <c r="N4" s="10" t="s">
        <v>5</v>
      </c>
      <c r="O4" s="10">
        <v>251100017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286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78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287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>
        <v>1</v>
      </c>
      <c r="C9" s="4">
        <v>1</v>
      </c>
      <c r="D9" s="4">
        <v>12</v>
      </c>
      <c r="E9" s="4">
        <v>8.0</v>
      </c>
      <c r="F9" s="4">
        <v>1.0</v>
      </c>
      <c r="G9" s="4">
        <v>3.0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2370957.0</v>
      </c>
      <c r="P9" s="10"/>
      <c r="Q9" s="10"/>
    </row>
    <row r="10" spans="1:19">
      <c r="A10" s="6">
        <v>17</v>
      </c>
      <c r="B10" s="4">
        <v>2</v>
      </c>
      <c r="C10" s="4">
        <v>1</v>
      </c>
      <c r="D10" s="4">
        <v>12</v>
      </c>
      <c r="E10" s="4">
        <v>8.0</v>
      </c>
      <c r="F10" s="4">
        <v>1.0</v>
      </c>
      <c r="G10" s="4">
        <v>3.0</v>
      </c>
      <c r="H10" s="4">
        <v>0.0</v>
      </c>
      <c r="I10" s="4">
        <v>0.0</v>
      </c>
      <c r="K10" s="10" t="s">
        <v>27</v>
      </c>
      <c r="L10" s="10"/>
      <c r="M10" s="25" t="s">
        <v>246</v>
      </c>
      <c r="N10" s="25">
        <v>411148.56</v>
      </c>
      <c r="O10" s="25"/>
      <c r="P10" s="10"/>
      <c r="Q10" s="10"/>
    </row>
    <row r="11" spans="1:19">
      <c r="A11" s="6">
        <v>18</v>
      </c>
      <c r="B11" s="4">
        <v>3</v>
      </c>
      <c r="C11" s="4">
        <v>1</v>
      </c>
      <c r="D11" s="4">
        <v>12</v>
      </c>
      <c r="E11" s="4">
        <v>8.0</v>
      </c>
      <c r="F11" s="4">
        <v>1.0</v>
      </c>
      <c r="G11" s="4">
        <v>3.0</v>
      </c>
      <c r="H11" s="4">
        <v>0.0</v>
      </c>
      <c r="I11" s="4">
        <v>0.0</v>
      </c>
      <c r="K11" s="10" t="s">
        <v>29</v>
      </c>
      <c r="L11" s="10"/>
      <c r="M11" s="25" t="s">
        <v>247</v>
      </c>
      <c r="N11" s="25">
        <v>1644594.24</v>
      </c>
      <c r="O11" s="25"/>
      <c r="P11" s="10"/>
      <c r="Q11" s="10"/>
    </row>
    <row r="12" spans="1:19">
      <c r="A12" s="6">
        <v>19</v>
      </c>
      <c r="B12" s="4">
        <v>4</v>
      </c>
      <c r="C12" s="4">
        <v>1</v>
      </c>
      <c r="D12" s="4">
        <v>12</v>
      </c>
      <c r="E12" s="4">
        <v>8.0</v>
      </c>
      <c r="F12" s="4">
        <v>1.0</v>
      </c>
      <c r="G12" s="4">
        <v>3.0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 t="s">
        <v>39</v>
      </c>
      <c r="C13" s="4">
        <v>0</v>
      </c>
      <c r="D13" s="4">
        <v>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 t="s">
        <v>39</v>
      </c>
      <c r="C14" s="4">
        <v>0</v>
      </c>
      <c r="D14" s="4">
        <v>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2055743.0</v>
      </c>
      <c r="P14" s="10"/>
      <c r="Q14" s="10"/>
    </row>
    <row r="15" spans="1:19">
      <c r="A15" s="6">
        <v>22</v>
      </c>
      <c r="B15" s="4" t="s">
        <v>39</v>
      </c>
      <c r="C15" s="4">
        <v>0</v>
      </c>
      <c r="D15" s="4">
        <v>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>
        <v>1</v>
      </c>
      <c r="C16" s="4">
        <v>1</v>
      </c>
      <c r="D16" s="4">
        <v>12</v>
      </c>
      <c r="E16" s="4">
        <v>8.0</v>
      </c>
      <c r="F16" s="4">
        <v>1.0</v>
      </c>
      <c r="G16" s="4">
        <v>3.0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>
        <v>2</v>
      </c>
      <c r="C17" s="4">
        <v>1</v>
      </c>
      <c r="D17" s="4">
        <v>12</v>
      </c>
      <c r="E17" s="4">
        <v>8.0</v>
      </c>
      <c r="F17" s="4">
        <v>1.0</v>
      </c>
      <c r="G17" s="4">
        <v>3.0</v>
      </c>
      <c r="H17" s="4">
        <v>0.0</v>
      </c>
      <c r="I17" s="4">
        <v>0.0</v>
      </c>
      <c r="K17" s="10" t="s">
        <v>36</v>
      </c>
      <c r="L17" s="10"/>
      <c r="M17" s="27" t="s">
        <v>248</v>
      </c>
      <c r="N17" s="25">
        <v>84000</v>
      </c>
      <c r="O17" s="25"/>
      <c r="P17" s="10"/>
      <c r="Q17" s="10"/>
    </row>
    <row r="18" spans="1:19">
      <c r="A18" s="6">
        <v>25</v>
      </c>
      <c r="B18" s="4">
        <v>3</v>
      </c>
      <c r="C18" s="4">
        <v>1</v>
      </c>
      <c r="D18" s="4">
        <v>12</v>
      </c>
      <c r="E18" s="4">
        <v>8.0</v>
      </c>
      <c r="F18" s="4">
        <v>1.0</v>
      </c>
      <c r="G18" s="4">
        <v>3.0</v>
      </c>
      <c r="H18" s="4">
        <v>0.0</v>
      </c>
      <c r="I18" s="4">
        <v>0.0</v>
      </c>
      <c r="K18" s="10" t="s">
        <v>38</v>
      </c>
      <c r="L18" s="10"/>
      <c r="M18" s="27" t="s">
        <v>248</v>
      </c>
      <c r="N18" s="25">
        <v>140000</v>
      </c>
      <c r="O18" s="25"/>
      <c r="P18" s="10"/>
      <c r="Q18" s="10"/>
    </row>
    <row r="19" spans="1:19">
      <c r="A19" s="6">
        <v>26</v>
      </c>
      <c r="B19" s="4">
        <v>4</v>
      </c>
      <c r="C19" s="4">
        <v>1</v>
      </c>
      <c r="D19" s="4">
        <v>12</v>
      </c>
      <c r="E19" s="4">
        <v>8.0</v>
      </c>
      <c r="F19" s="4">
        <v>1.0</v>
      </c>
      <c r="G19" s="4">
        <v>3.0</v>
      </c>
      <c r="H19" s="4">
        <v>0.0</v>
      </c>
      <c r="I19" s="4">
        <v>0.0</v>
      </c>
      <c r="K19" s="10" t="s">
        <v>40</v>
      </c>
      <c r="L19" s="10"/>
      <c r="M19" s="27" t="s">
        <v>80</v>
      </c>
      <c r="N19" s="25">
        <v>0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 t="s">
        <v>39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 t="s">
        <v>39</v>
      </c>
      <c r="C22" s="4">
        <v>0</v>
      </c>
      <c r="D22" s="4">
        <v>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224000</v>
      </c>
      <c r="P22" s="10"/>
      <c r="Q22" s="10"/>
    </row>
    <row r="23" spans="1:19">
      <c r="A23" s="6">
        <v>30</v>
      </c>
      <c r="B23" s="4">
        <v>1</v>
      </c>
      <c r="C23" s="4">
        <v>1</v>
      </c>
      <c r="D23" s="4">
        <v>12</v>
      </c>
      <c r="E23" s="4">
        <v>8.0</v>
      </c>
      <c r="F23" s="4">
        <v>1.0</v>
      </c>
      <c r="G23" s="4">
        <v>3.0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>
        <v>2</v>
      </c>
      <c r="C24" s="4">
        <v>1</v>
      </c>
      <c r="D24" s="4">
        <v>12</v>
      </c>
      <c r="E24" s="4">
        <v>8.0</v>
      </c>
      <c r="F24" s="4">
        <v>1.0</v>
      </c>
      <c r="G24" s="4">
        <v>3.0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>
        <v>3</v>
      </c>
      <c r="C25" s="4">
        <v>1</v>
      </c>
      <c r="D25" s="4">
        <v>12</v>
      </c>
      <c r="E25" s="4">
        <v>8.0</v>
      </c>
      <c r="F25" s="4">
        <v>1.0</v>
      </c>
      <c r="G25" s="4">
        <v>3.0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>
        <v>4</v>
      </c>
      <c r="C26" s="4">
        <v>1</v>
      </c>
      <c r="D26" s="4">
        <v>12</v>
      </c>
      <c r="E26" s="4">
        <v>8.0</v>
      </c>
      <c r="F26" s="4">
        <v>1.0</v>
      </c>
      <c r="G26" s="4">
        <v>3.0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 t="s">
        <v>39</v>
      </c>
      <c r="C27" s="4">
        <v>0</v>
      </c>
      <c r="D27" s="4">
        <v>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 t="s">
        <v>39</v>
      </c>
      <c r="C28" s="4">
        <v>0</v>
      </c>
      <c r="D28" s="4">
        <v>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 t="s">
        <v>39</v>
      </c>
      <c r="C29" s="4">
        <v>0</v>
      </c>
      <c r="D29" s="4">
        <v>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4855279.19</v>
      </c>
      <c r="P29" s="10"/>
      <c r="Q29" s="10"/>
    </row>
    <row r="30" spans="1:19">
      <c r="A30" s="6">
        <v>7</v>
      </c>
      <c r="B30" s="4">
        <v>1</v>
      </c>
      <c r="C30" s="4">
        <v>1</v>
      </c>
      <c r="D30" s="4">
        <v>12</v>
      </c>
      <c r="E30" s="4">
        <v>8.0</v>
      </c>
      <c r="F30" s="4">
        <v>1.0</v>
      </c>
      <c r="G30" s="4">
        <v>3.0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>
        <v>2</v>
      </c>
      <c r="C31" s="4">
        <v>1</v>
      </c>
      <c r="D31" s="4">
        <v>12</v>
      </c>
      <c r="E31" s="4">
        <v>8.0</v>
      </c>
      <c r="F31" s="4">
        <v>1.0</v>
      </c>
      <c r="G31" s="4">
        <v>3.0</v>
      </c>
      <c r="H31" s="4">
        <v>0.0</v>
      </c>
      <c r="I31" s="4">
        <v>0.0</v>
      </c>
      <c r="K31" s="10" t="s">
        <v>50</v>
      </c>
      <c r="L31" s="10"/>
      <c r="M31" s="28" t="s">
        <v>51</v>
      </c>
      <c r="N31" s="28" t="s">
        <v>52</v>
      </c>
      <c r="O31" s="25">
        <f>ROUNDDOWN(-(0.00),0)</f>
        <v>0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39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 t="s">
        <v>39</v>
      </c>
      <c r="C37" s="4">
        <v>0</v>
      </c>
      <c r="D37" s="4">
        <v>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4515216.0</v>
      </c>
      <c r="P37" s="10"/>
      <c r="Q37" s="10"/>
    </row>
    <row r="38" spans="1:19">
      <c r="A38" s="6">
        <v>15</v>
      </c>
      <c r="B38" s="4" t="s">
        <v>39</v>
      </c>
      <c r="C38" s="4">
        <v>0</v>
      </c>
      <c r="D38" s="4">
        <v>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14</v>
      </c>
      <c r="D39" s="9">
        <v>168</v>
      </c>
      <c r="E39" s="9">
        <v>112.0</v>
      </c>
      <c r="F39" s="9">
        <v>14.0</v>
      </c>
      <c r="G39" s="9">
        <v>42.0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56.0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-16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4515200.0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285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288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289</v>
      </c>
      <c r="N4" s="10" t="s">
        <v>5</v>
      </c>
      <c r="O4" s="10">
        <v>251100068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90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78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290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 t="s">
        <v>39</v>
      </c>
      <c r="C9" s="4">
        <v>0</v>
      </c>
      <c r="D9" s="4">
        <v>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2201603.0</v>
      </c>
      <c r="P9" s="10"/>
      <c r="Q9" s="10"/>
    </row>
    <row r="10" spans="1:19">
      <c r="A10" s="6">
        <v>17</v>
      </c>
      <c r="B10" s="4" t="s">
        <v>39</v>
      </c>
      <c r="C10" s="4">
        <v>0</v>
      </c>
      <c r="D10" s="4">
        <v>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K10" s="10" t="s">
        <v>27</v>
      </c>
      <c r="L10" s="10"/>
      <c r="M10" s="25" t="s">
        <v>116</v>
      </c>
      <c r="N10" s="25">
        <v>381780.81</v>
      </c>
      <c r="O10" s="25"/>
      <c r="P10" s="10"/>
      <c r="Q10" s="10"/>
    </row>
    <row r="11" spans="1:19">
      <c r="A11" s="6">
        <v>18</v>
      </c>
      <c r="B11" s="4" t="s">
        <v>39</v>
      </c>
      <c r="C11" s="4">
        <v>0</v>
      </c>
      <c r="D11" s="4">
        <v>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K11" s="10" t="s">
        <v>29</v>
      </c>
      <c r="L11" s="10"/>
      <c r="M11" s="25" t="s">
        <v>117</v>
      </c>
      <c r="N11" s="25">
        <v>1527123.23</v>
      </c>
      <c r="O11" s="25"/>
      <c r="P11" s="10"/>
      <c r="Q11" s="10"/>
    </row>
    <row r="12" spans="1:19">
      <c r="A12" s="6">
        <v>19</v>
      </c>
      <c r="B12" s="4" t="s">
        <v>39</v>
      </c>
      <c r="C12" s="4">
        <v>0</v>
      </c>
      <c r="D12" s="4">
        <v>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 t="s">
        <v>39</v>
      </c>
      <c r="C13" s="4">
        <v>0</v>
      </c>
      <c r="D13" s="4">
        <v>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>
        <v>1</v>
      </c>
      <c r="C14" s="4" t="s">
        <v>25</v>
      </c>
      <c r="D14" s="4">
        <v>12</v>
      </c>
      <c r="E14" s="4">
        <v>8.0</v>
      </c>
      <c r="F14" s="4">
        <v>1.0</v>
      </c>
      <c r="G14" s="4">
        <v>3.0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1908904.0</v>
      </c>
      <c r="P14" s="10"/>
      <c r="Q14" s="10"/>
    </row>
    <row r="15" spans="1:19">
      <c r="A15" s="6">
        <v>22</v>
      </c>
      <c r="B15" s="4">
        <v>2</v>
      </c>
      <c r="C15" s="4" t="s">
        <v>25</v>
      </c>
      <c r="D15" s="4">
        <v>12</v>
      </c>
      <c r="E15" s="4">
        <v>8.0</v>
      </c>
      <c r="F15" s="4">
        <v>1.0</v>
      </c>
      <c r="G15" s="4">
        <v>3.0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>
        <v>3</v>
      </c>
      <c r="C16" s="4" t="s">
        <v>25</v>
      </c>
      <c r="D16" s="4">
        <v>12</v>
      </c>
      <c r="E16" s="4">
        <v>8.0</v>
      </c>
      <c r="F16" s="4">
        <v>1.0</v>
      </c>
      <c r="G16" s="4">
        <v>3.0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>
        <v>4</v>
      </c>
      <c r="C17" s="4" t="s">
        <v>25</v>
      </c>
      <c r="D17" s="4">
        <v>12</v>
      </c>
      <c r="E17" s="4">
        <v>8.0</v>
      </c>
      <c r="F17" s="4">
        <v>1.0</v>
      </c>
      <c r="G17" s="4">
        <v>3.0</v>
      </c>
      <c r="H17" s="4">
        <v>0.0</v>
      </c>
      <c r="I17" s="4">
        <v>0.0</v>
      </c>
      <c r="K17" s="10" t="s">
        <v>36</v>
      </c>
      <c r="L17" s="10"/>
      <c r="M17" s="27" t="s">
        <v>118</v>
      </c>
      <c r="N17" s="25">
        <v>78000</v>
      </c>
      <c r="O17" s="25"/>
      <c r="P17" s="10"/>
      <c r="Q17" s="10"/>
    </row>
    <row r="18" spans="1:19">
      <c r="A18" s="6">
        <v>25</v>
      </c>
      <c r="B18" s="4">
        <v>5</v>
      </c>
      <c r="C18" s="4" t="s">
        <v>25</v>
      </c>
      <c r="D18" s="4">
        <v>12</v>
      </c>
      <c r="E18" s="4">
        <v>8.0</v>
      </c>
      <c r="F18" s="4">
        <v>1.0</v>
      </c>
      <c r="G18" s="4">
        <v>3.0</v>
      </c>
      <c r="H18" s="4">
        <v>0.0</v>
      </c>
      <c r="I18" s="4">
        <v>0.0</v>
      </c>
      <c r="K18" s="10" t="s">
        <v>38</v>
      </c>
      <c r="L18" s="10"/>
      <c r="M18" s="27" t="s">
        <v>118</v>
      </c>
      <c r="N18" s="25">
        <v>130000</v>
      </c>
      <c r="O18" s="25"/>
      <c r="P18" s="10"/>
      <c r="Q18" s="10"/>
    </row>
    <row r="19" spans="1:19">
      <c r="A19" s="6">
        <v>26</v>
      </c>
      <c r="B19" s="4" t="s">
        <v>39</v>
      </c>
      <c r="C19" s="4">
        <v>0</v>
      </c>
      <c r="D19" s="4">
        <v>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K19" s="10" t="s">
        <v>40</v>
      </c>
      <c r="L19" s="10"/>
      <c r="M19" s="27" t="s">
        <v>73</v>
      </c>
      <c r="N19" s="25">
        <v>304837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 t="s">
        <v>39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 t="s">
        <v>39</v>
      </c>
      <c r="C22" s="4">
        <v>0</v>
      </c>
      <c r="D22" s="4">
        <v>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512837</v>
      </c>
      <c r="P22" s="10"/>
      <c r="Q22" s="10"/>
    </row>
    <row r="23" spans="1:19">
      <c r="A23" s="6">
        <v>30</v>
      </c>
      <c r="B23" s="4">
        <v>1</v>
      </c>
      <c r="C23" s="4" t="s">
        <v>25</v>
      </c>
      <c r="D23" s="4">
        <v>12</v>
      </c>
      <c r="E23" s="4">
        <v>8.0</v>
      </c>
      <c r="F23" s="4">
        <v>1.0</v>
      </c>
      <c r="G23" s="4">
        <v>3.0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>
        <v>2</v>
      </c>
      <c r="C24" s="4" t="s">
        <v>25</v>
      </c>
      <c r="D24" s="4">
        <v>12</v>
      </c>
      <c r="E24" s="4">
        <v>8.0</v>
      </c>
      <c r="F24" s="4">
        <v>1.0</v>
      </c>
      <c r="G24" s="4">
        <v>3.0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>
        <v>3</v>
      </c>
      <c r="C25" s="4" t="s">
        <v>25</v>
      </c>
      <c r="D25" s="4">
        <v>12</v>
      </c>
      <c r="E25" s="4">
        <v>8.0</v>
      </c>
      <c r="F25" s="4">
        <v>1.0</v>
      </c>
      <c r="G25" s="4">
        <v>3.0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>
        <v>4</v>
      </c>
      <c r="C26" s="4" t="s">
        <v>25</v>
      </c>
      <c r="D26" s="4">
        <v>12</v>
      </c>
      <c r="E26" s="4">
        <v>8.0</v>
      </c>
      <c r="F26" s="4">
        <v>1.0</v>
      </c>
      <c r="G26" s="4">
        <v>3.0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>
        <v>5</v>
      </c>
      <c r="C27" s="4" t="s">
        <v>25</v>
      </c>
      <c r="D27" s="4">
        <v>12</v>
      </c>
      <c r="E27" s="4">
        <v>8.0</v>
      </c>
      <c r="F27" s="4">
        <v>1.0</v>
      </c>
      <c r="G27" s="4">
        <v>3.0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>
        <v>6</v>
      </c>
      <c r="C28" s="4" t="s">
        <v>25</v>
      </c>
      <c r="D28" s="4">
        <v>12</v>
      </c>
      <c r="E28" s="4">
        <v>8.0</v>
      </c>
      <c r="F28" s="4">
        <v>1.0</v>
      </c>
      <c r="G28" s="4">
        <v>3.0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>
        <v>7</v>
      </c>
      <c r="C29" s="4" t="s">
        <v>25</v>
      </c>
      <c r="D29" s="4">
        <v>12</v>
      </c>
      <c r="E29" s="4">
        <v>8.0</v>
      </c>
      <c r="F29" s="4">
        <v>1.0</v>
      </c>
      <c r="G29" s="4">
        <v>3.0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4827923.38</v>
      </c>
      <c r="P29" s="10"/>
      <c r="Q29" s="10"/>
    </row>
    <row r="30" spans="1:19">
      <c r="A30" s="6">
        <v>7</v>
      </c>
      <c r="B30" s="4" t="s">
        <v>39</v>
      </c>
      <c r="C30" s="4">
        <v>0</v>
      </c>
      <c r="D30" s="4">
        <v>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51</v>
      </c>
      <c r="N31" s="28" t="s">
        <v>52</v>
      </c>
      <c r="O31" s="25">
        <f>ROUNDDOWN(-(0.00),0)</f>
        <v>0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39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 t="s">
        <v>39</v>
      </c>
      <c r="C37" s="4">
        <v>0</v>
      </c>
      <c r="D37" s="4">
        <v>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4487860.0</v>
      </c>
      <c r="P37" s="10"/>
      <c r="Q37" s="10"/>
    </row>
    <row r="38" spans="1:19">
      <c r="A38" s="6">
        <v>15</v>
      </c>
      <c r="B38" s="4">
        <v>1</v>
      </c>
      <c r="C38" s="4">
        <v>1</v>
      </c>
      <c r="D38" s="4">
        <v>12</v>
      </c>
      <c r="E38" s="4">
        <v>8.0</v>
      </c>
      <c r="F38" s="4">
        <v>1.0</v>
      </c>
      <c r="G38" s="4">
        <v>3.0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13</v>
      </c>
      <c r="D39" s="9">
        <v>156</v>
      </c>
      <c r="E39" s="9">
        <v>104.0</v>
      </c>
      <c r="F39" s="9">
        <v>13.0</v>
      </c>
      <c r="G39" s="9">
        <v>39.0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52.0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40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4487900.0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289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291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292</v>
      </c>
      <c r="N4" s="10" t="s">
        <v>5</v>
      </c>
      <c r="O4" s="10">
        <v>251100034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137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69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293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 t="s">
        <v>39</v>
      </c>
      <c r="C9" s="4">
        <v>0</v>
      </c>
      <c r="D9" s="4">
        <v>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3387081.0</v>
      </c>
      <c r="P9" s="10"/>
      <c r="Q9" s="10"/>
    </row>
    <row r="10" spans="1:19">
      <c r="A10" s="6">
        <v>17</v>
      </c>
      <c r="B10" s="4" t="s">
        <v>39</v>
      </c>
      <c r="C10" s="4">
        <v>0</v>
      </c>
      <c r="D10" s="4">
        <v>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K10" s="10" t="s">
        <v>27</v>
      </c>
      <c r="L10" s="10"/>
      <c r="M10" s="25" t="s">
        <v>208</v>
      </c>
      <c r="N10" s="25">
        <v>587355.09</v>
      </c>
      <c r="O10" s="25"/>
      <c r="P10" s="10"/>
      <c r="Q10" s="10"/>
    </row>
    <row r="11" spans="1:19">
      <c r="A11" s="6">
        <v>18</v>
      </c>
      <c r="B11" s="4" t="s">
        <v>39</v>
      </c>
      <c r="C11" s="4">
        <v>0</v>
      </c>
      <c r="D11" s="4">
        <v>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K11" s="10" t="s">
        <v>29</v>
      </c>
      <c r="L11" s="10"/>
      <c r="M11" s="25" t="s">
        <v>209</v>
      </c>
      <c r="N11" s="25">
        <v>2349420.35</v>
      </c>
      <c r="O11" s="25"/>
      <c r="P11" s="10"/>
      <c r="Q11" s="10"/>
    </row>
    <row r="12" spans="1:19">
      <c r="A12" s="6">
        <v>19</v>
      </c>
      <c r="B12" s="4">
        <v>1</v>
      </c>
      <c r="C12" s="4">
        <v>1</v>
      </c>
      <c r="D12" s="4">
        <v>12</v>
      </c>
      <c r="E12" s="4">
        <v>8.0</v>
      </c>
      <c r="F12" s="4">
        <v>1.0</v>
      </c>
      <c r="G12" s="4">
        <v>3.0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>
        <v>2</v>
      </c>
      <c r="C13" s="4">
        <v>1</v>
      </c>
      <c r="D13" s="4">
        <v>12</v>
      </c>
      <c r="E13" s="4">
        <v>8.0</v>
      </c>
      <c r="F13" s="4">
        <v>1.0</v>
      </c>
      <c r="G13" s="4">
        <v>3.0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>
        <v>3</v>
      </c>
      <c r="C14" s="4">
        <v>1</v>
      </c>
      <c r="D14" s="4">
        <v>12</v>
      </c>
      <c r="E14" s="4">
        <v>8.0</v>
      </c>
      <c r="F14" s="4">
        <v>1.0</v>
      </c>
      <c r="G14" s="4">
        <v>3.0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2936775.0</v>
      </c>
      <c r="P14" s="10"/>
      <c r="Q14" s="10"/>
    </row>
    <row r="15" spans="1:19">
      <c r="A15" s="6">
        <v>22</v>
      </c>
      <c r="B15" s="4">
        <v>4</v>
      </c>
      <c r="C15" s="4">
        <v>1</v>
      </c>
      <c r="D15" s="4">
        <v>12</v>
      </c>
      <c r="E15" s="4">
        <v>8.0</v>
      </c>
      <c r="F15" s="4">
        <v>1.0</v>
      </c>
      <c r="G15" s="4">
        <v>3.0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>
        <v>5</v>
      </c>
      <c r="C16" s="4">
        <v>1</v>
      </c>
      <c r="D16" s="4">
        <v>12</v>
      </c>
      <c r="E16" s="4">
        <v>8.0</v>
      </c>
      <c r="F16" s="4">
        <v>1.0</v>
      </c>
      <c r="G16" s="4">
        <v>3.0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>
        <v>6</v>
      </c>
      <c r="C17" s="4">
        <v>1</v>
      </c>
      <c r="D17" s="4">
        <v>12</v>
      </c>
      <c r="E17" s="4">
        <v>8.0</v>
      </c>
      <c r="F17" s="4">
        <v>1.0</v>
      </c>
      <c r="G17" s="4">
        <v>3.0</v>
      </c>
      <c r="H17" s="4">
        <v>0.0</v>
      </c>
      <c r="I17" s="4">
        <v>0.0</v>
      </c>
      <c r="K17" s="10" t="s">
        <v>36</v>
      </c>
      <c r="L17" s="10"/>
      <c r="M17" s="27" t="s">
        <v>210</v>
      </c>
      <c r="N17" s="25">
        <v>120000</v>
      </c>
      <c r="O17" s="25"/>
      <c r="P17" s="10"/>
      <c r="Q17" s="10"/>
    </row>
    <row r="18" spans="1:19">
      <c r="A18" s="6">
        <v>25</v>
      </c>
      <c r="B18" s="4">
        <v>7</v>
      </c>
      <c r="C18" s="4">
        <v>1</v>
      </c>
      <c r="D18" s="4">
        <v>12</v>
      </c>
      <c r="E18" s="4">
        <v>8.0</v>
      </c>
      <c r="F18" s="4">
        <v>1.0</v>
      </c>
      <c r="G18" s="4">
        <v>3.0</v>
      </c>
      <c r="H18" s="4">
        <v>0.0</v>
      </c>
      <c r="I18" s="4">
        <v>0.0</v>
      </c>
      <c r="K18" s="10" t="s">
        <v>38</v>
      </c>
      <c r="L18" s="10"/>
      <c r="M18" s="27" t="s">
        <v>210</v>
      </c>
      <c r="N18" s="25">
        <v>200000</v>
      </c>
      <c r="O18" s="25"/>
      <c r="P18" s="10"/>
      <c r="Q18" s="10"/>
    </row>
    <row r="19" spans="1:19">
      <c r="A19" s="6">
        <v>26</v>
      </c>
      <c r="B19" s="4">
        <v>8</v>
      </c>
      <c r="C19" s="4">
        <v>1</v>
      </c>
      <c r="D19" s="4">
        <v>12</v>
      </c>
      <c r="E19" s="4">
        <v>8.0</v>
      </c>
      <c r="F19" s="4">
        <v>1.0</v>
      </c>
      <c r="G19" s="4">
        <v>3.0</v>
      </c>
      <c r="H19" s="4">
        <v>0.0</v>
      </c>
      <c r="I19" s="4">
        <v>0.0</v>
      </c>
      <c r="K19" s="10" t="s">
        <v>40</v>
      </c>
      <c r="L19" s="10"/>
      <c r="M19" s="27" t="s">
        <v>80</v>
      </c>
      <c r="N19" s="25">
        <v>0</v>
      </c>
      <c r="O19" s="25"/>
      <c r="P19" s="10"/>
      <c r="Q19" s="10"/>
    </row>
    <row r="20" spans="1:19">
      <c r="A20" s="6">
        <v>27</v>
      </c>
      <c r="B20" s="4">
        <v>9</v>
      </c>
      <c r="C20" s="4">
        <v>1</v>
      </c>
      <c r="D20" s="4">
        <v>12</v>
      </c>
      <c r="E20" s="4">
        <v>8.0</v>
      </c>
      <c r="F20" s="4">
        <v>1.0</v>
      </c>
      <c r="G20" s="4">
        <v>3.0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>
        <v>1</v>
      </c>
      <c r="C21" s="4">
        <v>1</v>
      </c>
      <c r="D21" s="4">
        <v>12</v>
      </c>
      <c r="E21" s="4">
        <v>8.0</v>
      </c>
      <c r="F21" s="4">
        <v>1.0</v>
      </c>
      <c r="G21" s="4">
        <v>3.0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>
        <v>2</v>
      </c>
      <c r="C22" s="4">
        <v>1</v>
      </c>
      <c r="D22" s="4">
        <v>12</v>
      </c>
      <c r="E22" s="4">
        <v>8.0</v>
      </c>
      <c r="F22" s="4">
        <v>1.0</v>
      </c>
      <c r="G22" s="4">
        <v>3.0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320000</v>
      </c>
      <c r="P22" s="10"/>
      <c r="Q22" s="10"/>
    </row>
    <row r="23" spans="1:19">
      <c r="A23" s="6">
        <v>30</v>
      </c>
      <c r="B23" s="4">
        <v>3</v>
      </c>
      <c r="C23" s="4">
        <v>1</v>
      </c>
      <c r="D23" s="4">
        <v>12</v>
      </c>
      <c r="E23" s="4">
        <v>8.0</v>
      </c>
      <c r="F23" s="4">
        <v>1.0</v>
      </c>
      <c r="G23" s="4">
        <v>3.0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>
        <v>4</v>
      </c>
      <c r="C24" s="4">
        <v>1</v>
      </c>
      <c r="D24" s="4">
        <v>12</v>
      </c>
      <c r="E24" s="4">
        <v>8.0</v>
      </c>
      <c r="F24" s="4">
        <v>1.0</v>
      </c>
      <c r="G24" s="4">
        <v>3.0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>
        <v>5</v>
      </c>
      <c r="C25" s="4">
        <v>1</v>
      </c>
      <c r="D25" s="4">
        <v>12</v>
      </c>
      <c r="E25" s="4">
        <v>8.0</v>
      </c>
      <c r="F25" s="4">
        <v>1.0</v>
      </c>
      <c r="G25" s="4">
        <v>3.0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>
        <v>6</v>
      </c>
      <c r="C26" s="4">
        <v>1</v>
      </c>
      <c r="D26" s="4">
        <v>12</v>
      </c>
      <c r="E26" s="4">
        <v>8.0</v>
      </c>
      <c r="F26" s="4">
        <v>1.0</v>
      </c>
      <c r="G26" s="4">
        <v>3.0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 t="s">
        <v>39</v>
      </c>
      <c r="C27" s="4">
        <v>0</v>
      </c>
      <c r="D27" s="4">
        <v>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>
        <v>1</v>
      </c>
      <c r="C28" s="4">
        <v>1</v>
      </c>
      <c r="D28" s="4">
        <v>12</v>
      </c>
      <c r="E28" s="4">
        <v>8.0</v>
      </c>
      <c r="F28" s="4">
        <v>1.0</v>
      </c>
      <c r="G28" s="4">
        <v>3.0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>
        <v>2</v>
      </c>
      <c r="C29" s="4">
        <v>1</v>
      </c>
      <c r="D29" s="4">
        <v>12</v>
      </c>
      <c r="E29" s="4">
        <v>8.0</v>
      </c>
      <c r="F29" s="4">
        <v>1.0</v>
      </c>
      <c r="G29" s="4">
        <v>3.0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6848436.13</v>
      </c>
      <c r="P29" s="10"/>
      <c r="Q29" s="10"/>
    </row>
    <row r="30" spans="1:19">
      <c r="A30" s="6">
        <v>7</v>
      </c>
      <c r="B30" s="4">
        <v>3</v>
      </c>
      <c r="C30" s="4">
        <v>1</v>
      </c>
      <c r="D30" s="4">
        <v>12</v>
      </c>
      <c r="E30" s="4">
        <v>8.0</v>
      </c>
      <c r="F30" s="4">
        <v>1.0</v>
      </c>
      <c r="G30" s="4">
        <v>3.0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>
        <v>4</v>
      </c>
      <c r="C31" s="4">
        <v>1</v>
      </c>
      <c r="D31" s="4">
        <v>12</v>
      </c>
      <c r="E31" s="4">
        <v>8.0</v>
      </c>
      <c r="F31" s="4">
        <v>1.0</v>
      </c>
      <c r="G31" s="4">
        <v>3.0</v>
      </c>
      <c r="H31" s="4">
        <v>0.0</v>
      </c>
      <c r="I31" s="4">
        <v>0.0</v>
      </c>
      <c r="K31" s="10" t="s">
        <v>50</v>
      </c>
      <c r="L31" s="10"/>
      <c r="M31" s="28" t="s">
        <v>75</v>
      </c>
      <c r="N31" s="28" t="s">
        <v>294</v>
      </c>
      <c r="O31" s="25">
        <f>ROUNDDOWN(-(34242.00),0)</f>
        <v>-34242</v>
      </c>
      <c r="P31" s="10"/>
      <c r="Q31" s="10"/>
    </row>
    <row r="32" spans="1:19">
      <c r="A32" s="6">
        <v>9</v>
      </c>
      <c r="B32" s="4">
        <v>5</v>
      </c>
      <c r="C32" s="4">
        <v>1</v>
      </c>
      <c r="D32" s="4">
        <v>12</v>
      </c>
      <c r="E32" s="4">
        <v>8.0</v>
      </c>
      <c r="F32" s="4">
        <v>1.0</v>
      </c>
      <c r="G32" s="4">
        <v>3.0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39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 t="s">
        <v>39</v>
      </c>
      <c r="C37" s="4">
        <v>0</v>
      </c>
      <c r="D37" s="4">
        <v>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6474131.0</v>
      </c>
      <c r="P37" s="10"/>
      <c r="Q37" s="10"/>
    </row>
    <row r="38" spans="1:19">
      <c r="A38" s="6">
        <v>15</v>
      </c>
      <c r="B38" s="4" t="s">
        <v>39</v>
      </c>
      <c r="C38" s="4">
        <v>0</v>
      </c>
      <c r="D38" s="4">
        <v>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20</v>
      </c>
      <c r="D39" s="9">
        <v>240</v>
      </c>
      <c r="E39" s="9">
        <v>160.0</v>
      </c>
      <c r="F39" s="9">
        <v>20.0</v>
      </c>
      <c r="G39" s="9">
        <v>60.0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80.0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-31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6474100.0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292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295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296</v>
      </c>
      <c r="N4" s="10" t="s">
        <v>5</v>
      </c>
      <c r="O4" s="10">
        <v>251100027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113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114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297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 t="s">
        <v>39</v>
      </c>
      <c r="C9" s="4">
        <v>0</v>
      </c>
      <c r="D9" s="4">
        <v>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1354832.0</v>
      </c>
      <c r="P9" s="10"/>
      <c r="Q9" s="10"/>
    </row>
    <row r="10" spans="1:19">
      <c r="A10" s="6">
        <v>17</v>
      </c>
      <c r="B10" s="4">
        <v>1</v>
      </c>
      <c r="C10" s="4" t="s">
        <v>25</v>
      </c>
      <c r="D10" s="4">
        <v>12</v>
      </c>
      <c r="E10" s="4">
        <v>8.0</v>
      </c>
      <c r="F10" s="4">
        <v>1.0</v>
      </c>
      <c r="G10" s="4">
        <v>3.0</v>
      </c>
      <c r="H10" s="4">
        <v>0.0</v>
      </c>
      <c r="I10" s="4">
        <v>0.0</v>
      </c>
      <c r="K10" s="10" t="s">
        <v>27</v>
      </c>
      <c r="L10" s="10"/>
      <c r="M10" s="25" t="s">
        <v>85</v>
      </c>
      <c r="N10" s="25">
        <v>234942.03</v>
      </c>
      <c r="O10" s="25"/>
      <c r="P10" s="10"/>
      <c r="Q10" s="10"/>
    </row>
    <row r="11" spans="1:19">
      <c r="A11" s="6">
        <v>18</v>
      </c>
      <c r="B11" s="4">
        <v>2</v>
      </c>
      <c r="C11" s="4" t="s">
        <v>25</v>
      </c>
      <c r="D11" s="4">
        <v>12</v>
      </c>
      <c r="E11" s="4">
        <v>8.0</v>
      </c>
      <c r="F11" s="4">
        <v>1.0</v>
      </c>
      <c r="G11" s="4">
        <v>3.0</v>
      </c>
      <c r="H11" s="4">
        <v>0.0</v>
      </c>
      <c r="I11" s="4">
        <v>0.0</v>
      </c>
      <c r="K11" s="10" t="s">
        <v>29</v>
      </c>
      <c r="L11" s="10"/>
      <c r="M11" s="25" t="s">
        <v>86</v>
      </c>
      <c r="N11" s="25">
        <v>939768.14</v>
      </c>
      <c r="O11" s="25"/>
      <c r="P11" s="10"/>
      <c r="Q11" s="10"/>
    </row>
    <row r="12" spans="1:19">
      <c r="A12" s="6">
        <v>19</v>
      </c>
      <c r="B12" s="4">
        <v>3</v>
      </c>
      <c r="C12" s="4" t="s">
        <v>25</v>
      </c>
      <c r="D12" s="4">
        <v>12</v>
      </c>
      <c r="E12" s="4">
        <v>8.0</v>
      </c>
      <c r="F12" s="4">
        <v>1.0</v>
      </c>
      <c r="G12" s="4">
        <v>3.0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>
        <v>4</v>
      </c>
      <c r="C13" s="4" t="s">
        <v>25</v>
      </c>
      <c r="D13" s="4">
        <v>12</v>
      </c>
      <c r="E13" s="4">
        <v>8.0</v>
      </c>
      <c r="F13" s="4">
        <v>1.0</v>
      </c>
      <c r="G13" s="4">
        <v>3.0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>
        <v>5</v>
      </c>
      <c r="C14" s="4" t="s">
        <v>25</v>
      </c>
      <c r="D14" s="4">
        <v>12</v>
      </c>
      <c r="E14" s="4">
        <v>8.0</v>
      </c>
      <c r="F14" s="4">
        <v>1.0</v>
      </c>
      <c r="G14" s="4">
        <v>3.0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1174710.0</v>
      </c>
      <c r="P14" s="10"/>
      <c r="Q14" s="10"/>
    </row>
    <row r="15" spans="1:19">
      <c r="A15" s="6">
        <v>22</v>
      </c>
      <c r="B15" s="4">
        <v>6</v>
      </c>
      <c r="C15" s="4" t="s">
        <v>25</v>
      </c>
      <c r="D15" s="4">
        <v>12</v>
      </c>
      <c r="E15" s="4">
        <v>8.0</v>
      </c>
      <c r="F15" s="4">
        <v>1.0</v>
      </c>
      <c r="G15" s="4">
        <v>3.0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>
        <v>7</v>
      </c>
      <c r="C16" s="4" t="s">
        <v>25</v>
      </c>
      <c r="D16" s="4">
        <v>12</v>
      </c>
      <c r="E16" s="4">
        <v>8.0</v>
      </c>
      <c r="F16" s="4">
        <v>1.0</v>
      </c>
      <c r="G16" s="4">
        <v>3.0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>
        <v>8</v>
      </c>
      <c r="C17" s="4" t="s">
        <v>25</v>
      </c>
      <c r="D17" s="4">
        <v>12</v>
      </c>
      <c r="E17" s="4">
        <v>8.0</v>
      </c>
      <c r="F17" s="4">
        <v>1.0</v>
      </c>
      <c r="G17" s="4">
        <v>3.0</v>
      </c>
      <c r="H17" s="4">
        <v>0.0</v>
      </c>
      <c r="I17" s="4">
        <v>0.0</v>
      </c>
      <c r="K17" s="10" t="s">
        <v>36</v>
      </c>
      <c r="L17" s="10"/>
      <c r="M17" s="27" t="s">
        <v>87</v>
      </c>
      <c r="N17" s="25">
        <v>48000</v>
      </c>
      <c r="O17" s="25"/>
      <c r="P17" s="10"/>
      <c r="Q17" s="10"/>
    </row>
    <row r="18" spans="1:19">
      <c r="A18" s="6">
        <v>25</v>
      </c>
      <c r="B18" s="4" t="s">
        <v>39</v>
      </c>
      <c r="C18" s="4">
        <v>0</v>
      </c>
      <c r="D18" s="4">
        <v>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K18" s="10" t="s">
        <v>38</v>
      </c>
      <c r="L18" s="10"/>
      <c r="M18" s="27" t="s">
        <v>87</v>
      </c>
      <c r="N18" s="25">
        <v>80000</v>
      </c>
      <c r="O18" s="25"/>
      <c r="P18" s="10"/>
      <c r="Q18" s="10"/>
    </row>
    <row r="19" spans="1:19">
      <c r="A19" s="6">
        <v>26</v>
      </c>
      <c r="B19" s="4" t="s">
        <v>39</v>
      </c>
      <c r="C19" s="4">
        <v>0</v>
      </c>
      <c r="D19" s="4">
        <v>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K19" s="10" t="s">
        <v>40</v>
      </c>
      <c r="L19" s="10"/>
      <c r="M19" s="27" t="s">
        <v>87</v>
      </c>
      <c r="N19" s="25">
        <v>203225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 t="s">
        <v>39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 t="s">
        <v>39</v>
      </c>
      <c r="C22" s="4">
        <v>0</v>
      </c>
      <c r="D22" s="4">
        <v>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331225</v>
      </c>
      <c r="P22" s="10"/>
      <c r="Q22" s="10"/>
    </row>
    <row r="23" spans="1:19">
      <c r="A23" s="6">
        <v>30</v>
      </c>
      <c r="B23" s="4" t="s">
        <v>39</v>
      </c>
      <c r="C23" s="4">
        <v>0</v>
      </c>
      <c r="D23" s="4">
        <v>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 t="s">
        <v>39</v>
      </c>
      <c r="C24" s="4">
        <v>0</v>
      </c>
      <c r="D24" s="4">
        <v>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 t="s">
        <v>39</v>
      </c>
      <c r="C25" s="4">
        <v>0</v>
      </c>
      <c r="D25" s="4">
        <v>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 t="s">
        <v>39</v>
      </c>
      <c r="C26" s="4">
        <v>0</v>
      </c>
      <c r="D26" s="4">
        <v>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 t="s">
        <v>39</v>
      </c>
      <c r="C27" s="4">
        <v>0</v>
      </c>
      <c r="D27" s="4">
        <v>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 t="s">
        <v>39</v>
      </c>
      <c r="C28" s="4">
        <v>0</v>
      </c>
      <c r="D28" s="4">
        <v>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 t="s">
        <v>39</v>
      </c>
      <c r="C29" s="4">
        <v>0</v>
      </c>
      <c r="D29" s="4">
        <v>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3065347.26</v>
      </c>
      <c r="P29" s="10"/>
      <c r="Q29" s="10"/>
    </row>
    <row r="30" spans="1:19">
      <c r="A30" s="6">
        <v>7</v>
      </c>
      <c r="B30" s="4" t="s">
        <v>39</v>
      </c>
      <c r="C30" s="4">
        <v>0</v>
      </c>
      <c r="D30" s="4">
        <v>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75</v>
      </c>
      <c r="N31" s="28" t="s">
        <v>52</v>
      </c>
      <c r="O31" s="25">
        <f>ROUNDDOWN(-(0.00),0)</f>
        <v>0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39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 t="s">
        <v>39</v>
      </c>
      <c r="C37" s="4">
        <v>0</v>
      </c>
      <c r="D37" s="4">
        <v>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2725284.0</v>
      </c>
      <c r="P37" s="10"/>
      <c r="Q37" s="10"/>
    </row>
    <row r="38" spans="1:19">
      <c r="A38" s="6">
        <v>15</v>
      </c>
      <c r="B38" s="4" t="s">
        <v>39</v>
      </c>
      <c r="C38" s="4">
        <v>0</v>
      </c>
      <c r="D38" s="4">
        <v>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8</v>
      </c>
      <c r="D39" s="9">
        <v>96</v>
      </c>
      <c r="E39" s="9">
        <v>64.0</v>
      </c>
      <c r="F39" s="9">
        <v>8.0</v>
      </c>
      <c r="G39" s="9">
        <v>24.0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32.0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16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2725300.0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296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298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299</v>
      </c>
      <c r="N4" s="10" t="s">
        <v>5</v>
      </c>
      <c r="O4" s="10">
        <v>251100056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160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19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300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 t="s">
        <v>39</v>
      </c>
      <c r="C9" s="4">
        <v>0</v>
      </c>
      <c r="D9" s="4">
        <v>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338708.0</v>
      </c>
      <c r="P9" s="10"/>
      <c r="Q9" s="10"/>
    </row>
    <row r="10" spans="1:19">
      <c r="A10" s="6">
        <v>17</v>
      </c>
      <c r="B10" s="4" t="s">
        <v>39</v>
      </c>
      <c r="C10" s="4">
        <v>0</v>
      </c>
      <c r="D10" s="4">
        <v>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K10" s="10" t="s">
        <v>27</v>
      </c>
      <c r="L10" s="10"/>
      <c r="M10" s="25" t="s">
        <v>98</v>
      </c>
      <c r="N10" s="25">
        <v>58735.51</v>
      </c>
      <c r="O10" s="25"/>
      <c r="P10" s="10"/>
      <c r="Q10" s="10"/>
    </row>
    <row r="11" spans="1:19">
      <c r="A11" s="6">
        <v>18</v>
      </c>
      <c r="B11" s="4" t="s">
        <v>39</v>
      </c>
      <c r="C11" s="4">
        <v>0</v>
      </c>
      <c r="D11" s="4">
        <v>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K11" s="10" t="s">
        <v>29</v>
      </c>
      <c r="L11" s="10"/>
      <c r="M11" s="25" t="s">
        <v>99</v>
      </c>
      <c r="N11" s="25">
        <v>234942.03</v>
      </c>
      <c r="O11" s="25"/>
      <c r="P11" s="10"/>
      <c r="Q11" s="10"/>
    </row>
    <row r="12" spans="1:19">
      <c r="A12" s="6">
        <v>19</v>
      </c>
      <c r="B12" s="4" t="s">
        <v>39</v>
      </c>
      <c r="C12" s="4">
        <v>0</v>
      </c>
      <c r="D12" s="4">
        <v>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 t="s">
        <v>39</v>
      </c>
      <c r="C13" s="4">
        <v>0</v>
      </c>
      <c r="D13" s="4">
        <v>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 t="s">
        <v>39</v>
      </c>
      <c r="C14" s="4">
        <v>0</v>
      </c>
      <c r="D14" s="4">
        <v>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293678.0</v>
      </c>
      <c r="P14" s="10"/>
      <c r="Q14" s="10"/>
    </row>
    <row r="15" spans="1:19">
      <c r="A15" s="6">
        <v>22</v>
      </c>
      <c r="B15" s="4" t="s">
        <v>39</v>
      </c>
      <c r="C15" s="4">
        <v>0</v>
      </c>
      <c r="D15" s="4">
        <v>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 t="s">
        <v>39</v>
      </c>
      <c r="C16" s="4">
        <v>0</v>
      </c>
      <c r="D16" s="4">
        <v>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>
        <v>1</v>
      </c>
      <c r="C17" s="4">
        <v>1</v>
      </c>
      <c r="D17" s="4">
        <v>12</v>
      </c>
      <c r="E17" s="4">
        <v>8.0</v>
      </c>
      <c r="F17" s="4">
        <v>1.0</v>
      </c>
      <c r="G17" s="4">
        <v>3.0</v>
      </c>
      <c r="H17" s="4">
        <v>0.0</v>
      </c>
      <c r="I17" s="4">
        <v>0.0</v>
      </c>
      <c r="K17" s="10" t="s">
        <v>36</v>
      </c>
      <c r="L17" s="10"/>
      <c r="M17" s="27" t="s">
        <v>100</v>
      </c>
      <c r="N17" s="25">
        <v>12000</v>
      </c>
      <c r="O17" s="25"/>
      <c r="P17" s="10"/>
      <c r="Q17" s="10"/>
    </row>
    <row r="18" spans="1:19">
      <c r="A18" s="6">
        <v>25</v>
      </c>
      <c r="B18" s="4">
        <v>2</v>
      </c>
      <c r="C18" s="4">
        <v>1</v>
      </c>
      <c r="D18" s="4">
        <v>12</v>
      </c>
      <c r="E18" s="4">
        <v>8.0</v>
      </c>
      <c r="F18" s="4">
        <v>1.0</v>
      </c>
      <c r="G18" s="4">
        <v>3.0</v>
      </c>
      <c r="H18" s="4">
        <v>0.0</v>
      </c>
      <c r="I18" s="4">
        <v>0.0</v>
      </c>
      <c r="K18" s="10" t="s">
        <v>38</v>
      </c>
      <c r="L18" s="10"/>
      <c r="M18" s="27" t="s">
        <v>100</v>
      </c>
      <c r="N18" s="25">
        <v>20000</v>
      </c>
      <c r="O18" s="25"/>
      <c r="P18" s="10"/>
      <c r="Q18" s="10"/>
    </row>
    <row r="19" spans="1:19">
      <c r="A19" s="6">
        <v>26</v>
      </c>
      <c r="B19" s="4" t="s">
        <v>39</v>
      </c>
      <c r="C19" s="4">
        <v>0</v>
      </c>
      <c r="D19" s="4">
        <v>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K19" s="10" t="s">
        <v>40</v>
      </c>
      <c r="L19" s="10"/>
      <c r="M19" s="27" t="s">
        <v>80</v>
      </c>
      <c r="N19" s="25">
        <v>0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 t="s">
        <v>39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 t="s">
        <v>39</v>
      </c>
      <c r="C22" s="4">
        <v>0</v>
      </c>
      <c r="D22" s="4">
        <v>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32000</v>
      </c>
      <c r="P22" s="10"/>
      <c r="Q22" s="10"/>
    </row>
    <row r="23" spans="1:19">
      <c r="A23" s="6">
        <v>30</v>
      </c>
      <c r="B23" s="4" t="s">
        <v>39</v>
      </c>
      <c r="C23" s="4">
        <v>0</v>
      </c>
      <c r="D23" s="4">
        <v>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 t="s">
        <v>39</v>
      </c>
      <c r="C24" s="4">
        <v>0</v>
      </c>
      <c r="D24" s="4">
        <v>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 t="s">
        <v>39</v>
      </c>
      <c r="C25" s="4">
        <v>0</v>
      </c>
      <c r="D25" s="4">
        <v>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 t="s">
        <v>39</v>
      </c>
      <c r="C26" s="4">
        <v>0</v>
      </c>
      <c r="D26" s="4">
        <v>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 t="s">
        <v>39</v>
      </c>
      <c r="C27" s="4">
        <v>0</v>
      </c>
      <c r="D27" s="4">
        <v>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 t="s">
        <v>39</v>
      </c>
      <c r="C28" s="4">
        <v>0</v>
      </c>
      <c r="D28" s="4">
        <v>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 t="s">
        <v>39</v>
      </c>
      <c r="C29" s="4">
        <v>0</v>
      </c>
      <c r="D29" s="4">
        <v>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868965.33</v>
      </c>
      <c r="P29" s="10"/>
      <c r="Q29" s="10"/>
    </row>
    <row r="30" spans="1:19">
      <c r="A30" s="6">
        <v>7</v>
      </c>
      <c r="B30" s="4" t="s">
        <v>39</v>
      </c>
      <c r="C30" s="4">
        <v>0</v>
      </c>
      <c r="D30" s="4">
        <v>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51</v>
      </c>
      <c r="N31" s="28" t="s">
        <v>52</v>
      </c>
      <c r="O31" s="25">
        <f>ROUNDDOWN(-(0.00),0)</f>
        <v>0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39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 t="s">
        <v>39</v>
      </c>
      <c r="C37" s="4">
        <v>0</v>
      </c>
      <c r="D37" s="4">
        <v>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528902.0</v>
      </c>
      <c r="P37" s="10"/>
      <c r="Q37" s="10"/>
    </row>
    <row r="38" spans="1:19">
      <c r="A38" s="6">
        <v>15</v>
      </c>
      <c r="B38" s="4" t="s">
        <v>39</v>
      </c>
      <c r="C38" s="4">
        <v>0</v>
      </c>
      <c r="D38" s="4">
        <v>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2</v>
      </c>
      <c r="D39" s="9">
        <v>24</v>
      </c>
      <c r="E39" s="9">
        <v>16.0</v>
      </c>
      <c r="F39" s="9">
        <v>2.0</v>
      </c>
      <c r="G39" s="9">
        <v>6.0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8.0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-2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528900.0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299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301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302</v>
      </c>
      <c r="N4" s="10" t="s">
        <v>5</v>
      </c>
      <c r="O4" s="10">
        <v>251100041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68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19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303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 t="s">
        <v>39</v>
      </c>
      <c r="C9" s="4">
        <v>0</v>
      </c>
      <c r="D9" s="4">
        <v>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1862895.0</v>
      </c>
      <c r="P9" s="10"/>
      <c r="Q9" s="10"/>
    </row>
    <row r="10" spans="1:19">
      <c r="A10" s="6">
        <v>17</v>
      </c>
      <c r="B10" s="4" t="s">
        <v>39</v>
      </c>
      <c r="C10" s="4">
        <v>0</v>
      </c>
      <c r="D10" s="4">
        <v>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K10" s="10" t="s">
        <v>27</v>
      </c>
      <c r="L10" s="10"/>
      <c r="M10" s="25" t="s">
        <v>216</v>
      </c>
      <c r="N10" s="25">
        <v>323045.3</v>
      </c>
      <c r="O10" s="25"/>
      <c r="P10" s="10"/>
      <c r="Q10" s="10"/>
    </row>
    <row r="11" spans="1:19">
      <c r="A11" s="6">
        <v>18</v>
      </c>
      <c r="B11" s="4" t="s">
        <v>39</v>
      </c>
      <c r="C11" s="4">
        <v>0</v>
      </c>
      <c r="D11" s="4">
        <v>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K11" s="10" t="s">
        <v>29</v>
      </c>
      <c r="L11" s="10"/>
      <c r="M11" s="25" t="s">
        <v>217</v>
      </c>
      <c r="N11" s="25">
        <v>1292181.19</v>
      </c>
      <c r="O11" s="25"/>
      <c r="P11" s="10"/>
      <c r="Q11" s="10"/>
    </row>
    <row r="12" spans="1:19">
      <c r="A12" s="6">
        <v>19</v>
      </c>
      <c r="B12" s="4" t="s">
        <v>39</v>
      </c>
      <c r="C12" s="4">
        <v>0</v>
      </c>
      <c r="D12" s="4">
        <v>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 t="s">
        <v>39</v>
      </c>
      <c r="C13" s="4">
        <v>0</v>
      </c>
      <c r="D13" s="4">
        <v>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 t="s">
        <v>39</v>
      </c>
      <c r="C14" s="4">
        <v>0</v>
      </c>
      <c r="D14" s="4">
        <v>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1615226.0</v>
      </c>
      <c r="P14" s="10"/>
      <c r="Q14" s="10"/>
    </row>
    <row r="15" spans="1:19">
      <c r="A15" s="6">
        <v>22</v>
      </c>
      <c r="B15" s="4" t="s">
        <v>39</v>
      </c>
      <c r="C15" s="4">
        <v>0</v>
      </c>
      <c r="D15" s="4">
        <v>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>
        <v>1</v>
      </c>
      <c r="C16" s="4">
        <v>1</v>
      </c>
      <c r="D16" s="4">
        <v>12</v>
      </c>
      <c r="E16" s="4">
        <v>8.0</v>
      </c>
      <c r="F16" s="4">
        <v>1.0</v>
      </c>
      <c r="G16" s="4">
        <v>3.0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>
        <v>2</v>
      </c>
      <c r="C17" s="4">
        <v>1</v>
      </c>
      <c r="D17" s="4">
        <v>12</v>
      </c>
      <c r="E17" s="4">
        <v>8.0</v>
      </c>
      <c r="F17" s="4">
        <v>1.0</v>
      </c>
      <c r="G17" s="4">
        <v>3.0</v>
      </c>
      <c r="H17" s="4">
        <v>0.0</v>
      </c>
      <c r="I17" s="4">
        <v>0.0</v>
      </c>
      <c r="K17" s="10" t="s">
        <v>36</v>
      </c>
      <c r="L17" s="10"/>
      <c r="M17" s="27" t="s">
        <v>74</v>
      </c>
      <c r="N17" s="25">
        <v>66000</v>
      </c>
      <c r="O17" s="25"/>
      <c r="P17" s="10"/>
      <c r="Q17" s="10"/>
    </row>
    <row r="18" spans="1:19">
      <c r="A18" s="6">
        <v>25</v>
      </c>
      <c r="B18" s="4">
        <v>3</v>
      </c>
      <c r="C18" s="4">
        <v>1</v>
      </c>
      <c r="D18" s="4">
        <v>12</v>
      </c>
      <c r="E18" s="4">
        <v>8.0</v>
      </c>
      <c r="F18" s="4">
        <v>1.0</v>
      </c>
      <c r="G18" s="4">
        <v>3.0</v>
      </c>
      <c r="H18" s="4">
        <v>0.0</v>
      </c>
      <c r="I18" s="4">
        <v>0.0</v>
      </c>
      <c r="K18" s="10" t="s">
        <v>38</v>
      </c>
      <c r="L18" s="10"/>
      <c r="M18" s="27" t="s">
        <v>74</v>
      </c>
      <c r="N18" s="25">
        <v>110000</v>
      </c>
      <c r="O18" s="25"/>
      <c r="P18" s="10"/>
      <c r="Q18" s="10"/>
    </row>
    <row r="19" spans="1:19">
      <c r="A19" s="6">
        <v>26</v>
      </c>
      <c r="B19" s="4">
        <v>4</v>
      </c>
      <c r="C19" s="4">
        <v>1</v>
      </c>
      <c r="D19" s="4">
        <v>12</v>
      </c>
      <c r="E19" s="4">
        <v>8.0</v>
      </c>
      <c r="F19" s="4">
        <v>1.0</v>
      </c>
      <c r="G19" s="4">
        <v>3.0</v>
      </c>
      <c r="H19" s="4">
        <v>0.0</v>
      </c>
      <c r="I19" s="4">
        <v>0.0</v>
      </c>
      <c r="K19" s="10" t="s">
        <v>40</v>
      </c>
      <c r="L19" s="10"/>
      <c r="M19" s="27" t="s">
        <v>152</v>
      </c>
      <c r="N19" s="25">
        <v>177822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 t="s">
        <v>39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 t="s">
        <v>39</v>
      </c>
      <c r="C22" s="4">
        <v>0</v>
      </c>
      <c r="D22" s="4">
        <v>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353822</v>
      </c>
      <c r="P22" s="10"/>
      <c r="Q22" s="10"/>
    </row>
    <row r="23" spans="1:19">
      <c r="A23" s="6">
        <v>30</v>
      </c>
      <c r="B23" s="4" t="s">
        <v>39</v>
      </c>
      <c r="C23" s="4">
        <v>0</v>
      </c>
      <c r="D23" s="4">
        <v>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 t="s">
        <v>39</v>
      </c>
      <c r="C24" s="4">
        <v>0</v>
      </c>
      <c r="D24" s="4">
        <v>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 t="s">
        <v>39</v>
      </c>
      <c r="C25" s="4">
        <v>0</v>
      </c>
      <c r="D25" s="4">
        <v>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 t="s">
        <v>39</v>
      </c>
      <c r="C26" s="4">
        <v>0</v>
      </c>
      <c r="D26" s="4">
        <v>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 t="s">
        <v>39</v>
      </c>
      <c r="C27" s="4">
        <v>0</v>
      </c>
      <c r="D27" s="4">
        <v>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 t="s">
        <v>39</v>
      </c>
      <c r="C28" s="4">
        <v>0</v>
      </c>
      <c r="D28" s="4">
        <v>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 t="s">
        <v>39</v>
      </c>
      <c r="C29" s="4">
        <v>0</v>
      </c>
      <c r="D29" s="4">
        <v>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4036522.73</v>
      </c>
      <c r="P29" s="10"/>
      <c r="Q29" s="10"/>
    </row>
    <row r="30" spans="1:19">
      <c r="A30" s="6">
        <v>7</v>
      </c>
      <c r="B30" s="4" t="s">
        <v>39</v>
      </c>
      <c r="C30" s="4">
        <v>0</v>
      </c>
      <c r="D30" s="4">
        <v>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51</v>
      </c>
      <c r="N31" s="28" t="s">
        <v>52</v>
      </c>
      <c r="O31" s="25">
        <f>ROUNDDOWN(-(0.00),0)</f>
        <v>0</v>
      </c>
      <c r="P31" s="10"/>
      <c r="Q31" s="10"/>
    </row>
    <row r="32" spans="1:19">
      <c r="A32" s="6">
        <v>9</v>
      </c>
      <c r="B32" s="4">
        <v>1</v>
      </c>
      <c r="C32" s="4" t="s">
        <v>25</v>
      </c>
      <c r="D32" s="4">
        <v>12</v>
      </c>
      <c r="E32" s="4">
        <v>8.0</v>
      </c>
      <c r="F32" s="4">
        <v>1.0</v>
      </c>
      <c r="G32" s="4">
        <v>3.0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>
        <v>2</v>
      </c>
      <c r="C33" s="4" t="s">
        <v>25</v>
      </c>
      <c r="D33" s="4">
        <v>12</v>
      </c>
      <c r="E33" s="4">
        <v>8.0</v>
      </c>
      <c r="F33" s="4">
        <v>1.0</v>
      </c>
      <c r="G33" s="4">
        <v>3.0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>
        <v>3</v>
      </c>
      <c r="C34" s="4" t="s">
        <v>25</v>
      </c>
      <c r="D34" s="4">
        <v>12</v>
      </c>
      <c r="E34" s="4">
        <v>8.0</v>
      </c>
      <c r="F34" s="4">
        <v>1.0</v>
      </c>
      <c r="G34" s="4">
        <v>3.0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>
        <v>4</v>
      </c>
      <c r="C35" s="4" t="s">
        <v>25</v>
      </c>
      <c r="D35" s="4">
        <v>12</v>
      </c>
      <c r="E35" s="4">
        <v>8.0</v>
      </c>
      <c r="F35" s="4">
        <v>1.0</v>
      </c>
      <c r="G35" s="4">
        <v>3.0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>
        <v>5</v>
      </c>
      <c r="C36" s="4" t="s">
        <v>25</v>
      </c>
      <c r="D36" s="4">
        <v>12</v>
      </c>
      <c r="E36" s="4">
        <v>8.0</v>
      </c>
      <c r="F36" s="4">
        <v>1.0</v>
      </c>
      <c r="G36" s="4">
        <v>3.0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>
        <v>6</v>
      </c>
      <c r="C37" s="4" t="s">
        <v>25</v>
      </c>
      <c r="D37" s="4">
        <v>12</v>
      </c>
      <c r="E37" s="4">
        <v>8.0</v>
      </c>
      <c r="F37" s="4">
        <v>1.0</v>
      </c>
      <c r="G37" s="4">
        <v>3.0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3696460.0</v>
      </c>
      <c r="P37" s="10"/>
      <c r="Q37" s="10"/>
    </row>
    <row r="38" spans="1:19">
      <c r="A38" s="6">
        <v>15</v>
      </c>
      <c r="B38" s="4">
        <v>7</v>
      </c>
      <c r="C38" s="4" t="s">
        <v>25</v>
      </c>
      <c r="D38" s="4">
        <v>12</v>
      </c>
      <c r="E38" s="4">
        <v>8.0</v>
      </c>
      <c r="F38" s="4">
        <v>1.0</v>
      </c>
      <c r="G38" s="4">
        <v>3.0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11</v>
      </c>
      <c r="D39" s="9">
        <v>132</v>
      </c>
      <c r="E39" s="9">
        <v>88.0</v>
      </c>
      <c r="F39" s="9">
        <v>11.0</v>
      </c>
      <c r="G39" s="9">
        <v>33.0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44.0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40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3696500.0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302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304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305</v>
      </c>
      <c r="N4" s="10" t="s">
        <v>5</v>
      </c>
      <c r="O4" s="10">
        <v>251100020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286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128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306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>
        <v>1</v>
      </c>
      <c r="C9" s="4">
        <v>1</v>
      </c>
      <c r="D9" s="4">
        <v>12</v>
      </c>
      <c r="E9" s="4">
        <v>8.0</v>
      </c>
      <c r="F9" s="4">
        <v>1.0</v>
      </c>
      <c r="G9" s="4">
        <v>3.0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3556435.0</v>
      </c>
      <c r="P9" s="10"/>
      <c r="Q9" s="10"/>
    </row>
    <row r="10" spans="1:19">
      <c r="A10" s="6">
        <v>17</v>
      </c>
      <c r="B10" s="4">
        <v>2</v>
      </c>
      <c r="C10" s="4">
        <v>1</v>
      </c>
      <c r="D10" s="4">
        <v>12</v>
      </c>
      <c r="E10" s="4">
        <v>8.0</v>
      </c>
      <c r="F10" s="4">
        <v>1.0</v>
      </c>
      <c r="G10" s="4">
        <v>3.0</v>
      </c>
      <c r="H10" s="4">
        <v>0.0</v>
      </c>
      <c r="I10" s="4">
        <v>0.0</v>
      </c>
      <c r="K10" s="10" t="s">
        <v>27</v>
      </c>
      <c r="L10" s="10"/>
      <c r="M10" s="25" t="s">
        <v>307</v>
      </c>
      <c r="N10" s="25">
        <v>616722.84</v>
      </c>
      <c r="O10" s="25"/>
      <c r="P10" s="10"/>
      <c r="Q10" s="10"/>
    </row>
    <row r="11" spans="1:19">
      <c r="A11" s="6">
        <v>18</v>
      </c>
      <c r="B11" s="4">
        <v>3</v>
      </c>
      <c r="C11" s="4">
        <v>1</v>
      </c>
      <c r="D11" s="4">
        <v>12</v>
      </c>
      <c r="E11" s="4">
        <v>8.0</v>
      </c>
      <c r="F11" s="4">
        <v>1.0</v>
      </c>
      <c r="G11" s="4">
        <v>3.0</v>
      </c>
      <c r="H11" s="4">
        <v>0.0</v>
      </c>
      <c r="I11" s="4">
        <v>0.0</v>
      </c>
      <c r="K11" s="10" t="s">
        <v>29</v>
      </c>
      <c r="L11" s="10"/>
      <c r="M11" s="25" t="s">
        <v>308</v>
      </c>
      <c r="N11" s="25">
        <v>2466891.36</v>
      </c>
      <c r="O11" s="25"/>
      <c r="P11" s="10"/>
      <c r="Q11" s="10"/>
    </row>
    <row r="12" spans="1:19">
      <c r="A12" s="6">
        <v>19</v>
      </c>
      <c r="B12" s="4">
        <v>4</v>
      </c>
      <c r="C12" s="4">
        <v>1</v>
      </c>
      <c r="D12" s="4">
        <v>12</v>
      </c>
      <c r="E12" s="4">
        <v>8.0</v>
      </c>
      <c r="F12" s="4">
        <v>1.0</v>
      </c>
      <c r="G12" s="4">
        <v>3.0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>
        <v>5</v>
      </c>
      <c r="C13" s="4">
        <v>1</v>
      </c>
      <c r="D13" s="4">
        <v>12</v>
      </c>
      <c r="E13" s="4">
        <v>8.0</v>
      </c>
      <c r="F13" s="4">
        <v>1.0</v>
      </c>
      <c r="G13" s="4">
        <v>3.0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>
        <v>6</v>
      </c>
      <c r="C14" s="4">
        <v>1</v>
      </c>
      <c r="D14" s="4">
        <v>12</v>
      </c>
      <c r="E14" s="4">
        <v>8.0</v>
      </c>
      <c r="F14" s="4">
        <v>1.0</v>
      </c>
      <c r="G14" s="4">
        <v>3.0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3083614.0</v>
      </c>
      <c r="P14" s="10"/>
      <c r="Q14" s="10"/>
    </row>
    <row r="15" spans="1:19">
      <c r="A15" s="6">
        <v>22</v>
      </c>
      <c r="B15" s="4">
        <v>7</v>
      </c>
      <c r="C15" s="4">
        <v>1</v>
      </c>
      <c r="D15" s="4">
        <v>12</v>
      </c>
      <c r="E15" s="4">
        <v>8.0</v>
      </c>
      <c r="F15" s="4">
        <v>1.0</v>
      </c>
      <c r="G15" s="4">
        <v>3.0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>
        <v>8</v>
      </c>
      <c r="C16" s="4">
        <v>1</v>
      </c>
      <c r="D16" s="4">
        <v>12</v>
      </c>
      <c r="E16" s="4">
        <v>8.0</v>
      </c>
      <c r="F16" s="4">
        <v>1.0</v>
      </c>
      <c r="G16" s="4">
        <v>3.0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>
        <v>9</v>
      </c>
      <c r="C17" s="4">
        <v>1</v>
      </c>
      <c r="D17" s="4">
        <v>12</v>
      </c>
      <c r="E17" s="4">
        <v>8.0</v>
      </c>
      <c r="F17" s="4">
        <v>1.0</v>
      </c>
      <c r="G17" s="4">
        <v>3.0</v>
      </c>
      <c r="H17" s="4">
        <v>0.0</v>
      </c>
      <c r="I17" s="4">
        <v>0.0</v>
      </c>
      <c r="K17" s="10" t="s">
        <v>36</v>
      </c>
      <c r="L17" s="10"/>
      <c r="M17" s="27" t="s">
        <v>309</v>
      </c>
      <c r="N17" s="25">
        <v>126000</v>
      </c>
      <c r="O17" s="25"/>
      <c r="P17" s="10"/>
      <c r="Q17" s="10"/>
    </row>
    <row r="18" spans="1:19">
      <c r="A18" s="6">
        <v>25</v>
      </c>
      <c r="B18" s="4" t="s">
        <v>39</v>
      </c>
      <c r="C18" s="4">
        <v>0</v>
      </c>
      <c r="D18" s="4">
        <v>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K18" s="10" t="s">
        <v>38</v>
      </c>
      <c r="L18" s="10"/>
      <c r="M18" s="27" t="s">
        <v>309</v>
      </c>
      <c r="N18" s="25">
        <v>210000</v>
      </c>
      <c r="O18" s="25"/>
      <c r="P18" s="10"/>
      <c r="Q18" s="10"/>
    </row>
    <row r="19" spans="1:19">
      <c r="A19" s="6">
        <v>26</v>
      </c>
      <c r="B19" s="4" t="s">
        <v>39</v>
      </c>
      <c r="C19" s="4">
        <v>0</v>
      </c>
      <c r="D19" s="4">
        <v>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K19" s="10" t="s">
        <v>40</v>
      </c>
      <c r="L19" s="10"/>
      <c r="M19" s="27" t="s">
        <v>80</v>
      </c>
      <c r="N19" s="25">
        <v>0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 t="s">
        <v>39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 t="s">
        <v>39</v>
      </c>
      <c r="C22" s="4">
        <v>0</v>
      </c>
      <c r="D22" s="4">
        <v>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336000</v>
      </c>
      <c r="P22" s="10"/>
      <c r="Q22" s="10"/>
    </row>
    <row r="23" spans="1:19">
      <c r="A23" s="6">
        <v>30</v>
      </c>
      <c r="B23" s="4" t="s">
        <v>39</v>
      </c>
      <c r="C23" s="4">
        <v>0</v>
      </c>
      <c r="D23" s="4">
        <v>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 t="s">
        <v>39</v>
      </c>
      <c r="C24" s="4">
        <v>0</v>
      </c>
      <c r="D24" s="4">
        <v>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 t="s">
        <v>39</v>
      </c>
      <c r="C25" s="4">
        <v>0</v>
      </c>
      <c r="D25" s="4">
        <v>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 t="s">
        <v>39</v>
      </c>
      <c r="C26" s="4">
        <v>0</v>
      </c>
      <c r="D26" s="4">
        <v>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>
        <v>1</v>
      </c>
      <c r="C27" s="4">
        <v>1</v>
      </c>
      <c r="D27" s="4">
        <v>12</v>
      </c>
      <c r="E27" s="4">
        <v>8.0</v>
      </c>
      <c r="F27" s="4">
        <v>1.0</v>
      </c>
      <c r="G27" s="4">
        <v>3.0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>
        <v>2</v>
      </c>
      <c r="C28" s="4">
        <v>1</v>
      </c>
      <c r="D28" s="4">
        <v>12</v>
      </c>
      <c r="E28" s="4">
        <v>8.0</v>
      </c>
      <c r="F28" s="4">
        <v>1.0</v>
      </c>
      <c r="G28" s="4">
        <v>3.0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>
        <v>3</v>
      </c>
      <c r="C29" s="4">
        <v>1</v>
      </c>
      <c r="D29" s="4">
        <v>12</v>
      </c>
      <c r="E29" s="4">
        <v>8.0</v>
      </c>
      <c r="F29" s="4">
        <v>1.0</v>
      </c>
      <c r="G29" s="4">
        <v>3.0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7180628.94</v>
      </c>
      <c r="P29" s="10"/>
      <c r="Q29" s="10"/>
    </row>
    <row r="30" spans="1:19">
      <c r="A30" s="6">
        <v>7</v>
      </c>
      <c r="B30" s="4">
        <v>4</v>
      </c>
      <c r="C30" s="4">
        <v>1</v>
      </c>
      <c r="D30" s="4">
        <v>12</v>
      </c>
      <c r="E30" s="4">
        <v>8.0</v>
      </c>
      <c r="F30" s="4">
        <v>1.0</v>
      </c>
      <c r="G30" s="4">
        <v>3.0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>
        <v>5</v>
      </c>
      <c r="C31" s="4">
        <v>1</v>
      </c>
      <c r="D31" s="4">
        <v>12</v>
      </c>
      <c r="E31" s="4">
        <v>8.0</v>
      </c>
      <c r="F31" s="4">
        <v>1.0</v>
      </c>
      <c r="G31" s="4">
        <v>3.0</v>
      </c>
      <c r="H31" s="4">
        <v>0.0</v>
      </c>
      <c r="I31" s="4">
        <v>0.0</v>
      </c>
      <c r="K31" s="10" t="s">
        <v>50</v>
      </c>
      <c r="L31" s="10"/>
      <c r="M31" s="28" t="s">
        <v>134</v>
      </c>
      <c r="N31" s="28" t="s">
        <v>294</v>
      </c>
      <c r="O31" s="25">
        <f>ROUNDDOWN(-(35903.00),0)</f>
        <v>-35903</v>
      </c>
      <c r="P31" s="10"/>
      <c r="Q31" s="10"/>
    </row>
    <row r="32" spans="1:19">
      <c r="A32" s="6">
        <v>9</v>
      </c>
      <c r="B32" s="4">
        <v>6</v>
      </c>
      <c r="C32" s="4">
        <v>1</v>
      </c>
      <c r="D32" s="4">
        <v>12</v>
      </c>
      <c r="E32" s="4">
        <v>8.0</v>
      </c>
      <c r="F32" s="4">
        <v>1.0</v>
      </c>
      <c r="G32" s="4">
        <v>3.0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>
        <v>7</v>
      </c>
      <c r="C33" s="4">
        <v>1</v>
      </c>
      <c r="D33" s="4">
        <v>12</v>
      </c>
      <c r="E33" s="4">
        <v>8.0</v>
      </c>
      <c r="F33" s="4">
        <v>1.0</v>
      </c>
      <c r="G33" s="4">
        <v>3.0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>
        <v>8</v>
      </c>
      <c r="C34" s="4">
        <v>1</v>
      </c>
      <c r="D34" s="4">
        <v>12</v>
      </c>
      <c r="E34" s="4">
        <v>8.0</v>
      </c>
      <c r="F34" s="4">
        <v>1.0</v>
      </c>
      <c r="G34" s="4">
        <v>3.0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>
        <v>9</v>
      </c>
      <c r="C35" s="4">
        <v>1</v>
      </c>
      <c r="D35" s="4">
        <v>12</v>
      </c>
      <c r="E35" s="4">
        <v>8.0</v>
      </c>
      <c r="F35" s="4">
        <v>1.0</v>
      </c>
      <c r="G35" s="4">
        <v>3.0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>
        <v>1</v>
      </c>
      <c r="C36" s="4">
        <v>1</v>
      </c>
      <c r="D36" s="4">
        <v>12</v>
      </c>
      <c r="E36" s="4">
        <v>8.0</v>
      </c>
      <c r="F36" s="4">
        <v>1.0</v>
      </c>
      <c r="G36" s="4">
        <v>3.0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>
        <v>2</v>
      </c>
      <c r="C37" s="4">
        <v>1</v>
      </c>
      <c r="D37" s="4">
        <v>12</v>
      </c>
      <c r="E37" s="4">
        <v>8.0</v>
      </c>
      <c r="F37" s="4">
        <v>1.0</v>
      </c>
      <c r="G37" s="4">
        <v>3.0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6804663.0</v>
      </c>
      <c r="P37" s="10"/>
      <c r="Q37" s="10"/>
    </row>
    <row r="38" spans="1:19">
      <c r="A38" s="6">
        <v>15</v>
      </c>
      <c r="B38" s="4">
        <v>3</v>
      </c>
      <c r="C38" s="4">
        <v>1</v>
      </c>
      <c r="D38" s="4">
        <v>12</v>
      </c>
      <c r="E38" s="4">
        <v>8.0</v>
      </c>
      <c r="F38" s="4">
        <v>1.0</v>
      </c>
      <c r="G38" s="4">
        <v>3.0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21</v>
      </c>
      <c r="D39" s="9">
        <v>252</v>
      </c>
      <c r="E39" s="9">
        <v>168.0</v>
      </c>
      <c r="F39" s="9">
        <v>21.0</v>
      </c>
      <c r="G39" s="9">
        <v>63.0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84.0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37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6804700.0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305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310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311</v>
      </c>
      <c r="N4" s="10" t="s">
        <v>5</v>
      </c>
      <c r="O4" s="10">
        <v>251100018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286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69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312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 t="s">
        <v>39</v>
      </c>
      <c r="C9" s="4">
        <v>0</v>
      </c>
      <c r="D9" s="4">
        <v>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3387081.0</v>
      </c>
      <c r="P9" s="10"/>
      <c r="Q9" s="10"/>
    </row>
    <row r="10" spans="1:19">
      <c r="A10" s="6">
        <v>17</v>
      </c>
      <c r="B10" s="4" t="s">
        <v>39</v>
      </c>
      <c r="C10" s="4">
        <v>0</v>
      </c>
      <c r="D10" s="4">
        <v>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K10" s="10" t="s">
        <v>27</v>
      </c>
      <c r="L10" s="10"/>
      <c r="M10" s="25" t="s">
        <v>208</v>
      </c>
      <c r="N10" s="25">
        <v>587355.09</v>
      </c>
      <c r="O10" s="25"/>
      <c r="P10" s="10"/>
      <c r="Q10" s="10"/>
    </row>
    <row r="11" spans="1:19">
      <c r="A11" s="6">
        <v>18</v>
      </c>
      <c r="B11" s="4" t="s">
        <v>39</v>
      </c>
      <c r="C11" s="4">
        <v>0</v>
      </c>
      <c r="D11" s="4">
        <v>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K11" s="10" t="s">
        <v>29</v>
      </c>
      <c r="L11" s="10"/>
      <c r="M11" s="25" t="s">
        <v>209</v>
      </c>
      <c r="N11" s="25">
        <v>2349420.35</v>
      </c>
      <c r="O11" s="25"/>
      <c r="P11" s="10"/>
      <c r="Q11" s="10"/>
    </row>
    <row r="12" spans="1:19">
      <c r="A12" s="6">
        <v>19</v>
      </c>
      <c r="B12" s="4" t="s">
        <v>39</v>
      </c>
      <c r="C12" s="4">
        <v>0</v>
      </c>
      <c r="D12" s="4">
        <v>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 t="s">
        <v>39</v>
      </c>
      <c r="C13" s="4">
        <v>0</v>
      </c>
      <c r="D13" s="4">
        <v>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 t="s">
        <v>39</v>
      </c>
      <c r="C14" s="4">
        <v>0</v>
      </c>
      <c r="D14" s="4">
        <v>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2936775.0</v>
      </c>
      <c r="P14" s="10"/>
      <c r="Q14" s="10"/>
    </row>
    <row r="15" spans="1:19">
      <c r="A15" s="6">
        <v>22</v>
      </c>
      <c r="B15" s="4" t="s">
        <v>39</v>
      </c>
      <c r="C15" s="4">
        <v>0</v>
      </c>
      <c r="D15" s="4">
        <v>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 t="s">
        <v>39</v>
      </c>
      <c r="C16" s="4">
        <v>0</v>
      </c>
      <c r="D16" s="4">
        <v>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 t="s">
        <v>39</v>
      </c>
      <c r="C17" s="4">
        <v>0</v>
      </c>
      <c r="D17" s="4">
        <v>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K17" s="10" t="s">
        <v>36</v>
      </c>
      <c r="L17" s="10"/>
      <c r="M17" s="27" t="s">
        <v>210</v>
      </c>
      <c r="N17" s="25">
        <v>120000</v>
      </c>
      <c r="O17" s="25"/>
      <c r="P17" s="10"/>
      <c r="Q17" s="10"/>
    </row>
    <row r="18" spans="1:19">
      <c r="A18" s="6">
        <v>25</v>
      </c>
      <c r="B18" s="4" t="s">
        <v>39</v>
      </c>
      <c r="C18" s="4">
        <v>0</v>
      </c>
      <c r="D18" s="4">
        <v>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K18" s="10" t="s">
        <v>38</v>
      </c>
      <c r="L18" s="10"/>
      <c r="M18" s="27" t="s">
        <v>210</v>
      </c>
      <c r="N18" s="25">
        <v>200000</v>
      </c>
      <c r="O18" s="25"/>
      <c r="P18" s="10"/>
      <c r="Q18" s="10"/>
    </row>
    <row r="19" spans="1:19">
      <c r="A19" s="6">
        <v>26</v>
      </c>
      <c r="B19" s="4">
        <v>1</v>
      </c>
      <c r="C19" s="4">
        <v>1</v>
      </c>
      <c r="D19" s="4">
        <v>12</v>
      </c>
      <c r="E19" s="4">
        <v>8.0</v>
      </c>
      <c r="F19" s="4">
        <v>1.0</v>
      </c>
      <c r="G19" s="4">
        <v>3.0</v>
      </c>
      <c r="H19" s="4">
        <v>0.0</v>
      </c>
      <c r="I19" s="4">
        <v>0.0</v>
      </c>
      <c r="K19" s="10" t="s">
        <v>40</v>
      </c>
      <c r="L19" s="10"/>
      <c r="M19" s="27" t="s">
        <v>80</v>
      </c>
      <c r="N19" s="25">
        <v>0</v>
      </c>
      <c r="O19" s="25"/>
      <c r="P19" s="10"/>
      <c r="Q19" s="10"/>
    </row>
    <row r="20" spans="1:19">
      <c r="A20" s="6">
        <v>27</v>
      </c>
      <c r="B20" s="4">
        <v>2</v>
      </c>
      <c r="C20" s="4">
        <v>1</v>
      </c>
      <c r="D20" s="4">
        <v>12</v>
      </c>
      <c r="E20" s="4">
        <v>8.0</v>
      </c>
      <c r="F20" s="4">
        <v>1.0</v>
      </c>
      <c r="G20" s="4">
        <v>3.0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>
        <v>3</v>
      </c>
      <c r="C21" s="4">
        <v>1</v>
      </c>
      <c r="D21" s="4">
        <v>12</v>
      </c>
      <c r="E21" s="4">
        <v>8.0</v>
      </c>
      <c r="F21" s="4">
        <v>1.0</v>
      </c>
      <c r="G21" s="4">
        <v>3.0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>
        <v>4</v>
      </c>
      <c r="C22" s="4">
        <v>1</v>
      </c>
      <c r="D22" s="4">
        <v>12</v>
      </c>
      <c r="E22" s="4">
        <v>8.0</v>
      </c>
      <c r="F22" s="4">
        <v>1.0</v>
      </c>
      <c r="G22" s="4">
        <v>3.0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320000</v>
      </c>
      <c r="P22" s="10"/>
      <c r="Q22" s="10"/>
    </row>
    <row r="23" spans="1:19">
      <c r="A23" s="6">
        <v>30</v>
      </c>
      <c r="B23" s="4">
        <v>5</v>
      </c>
      <c r="C23" s="4">
        <v>1</v>
      </c>
      <c r="D23" s="4">
        <v>12</v>
      </c>
      <c r="E23" s="4">
        <v>8.0</v>
      </c>
      <c r="F23" s="4">
        <v>1.0</v>
      </c>
      <c r="G23" s="4">
        <v>3.0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>
        <v>6</v>
      </c>
      <c r="C24" s="4">
        <v>1</v>
      </c>
      <c r="D24" s="4">
        <v>12</v>
      </c>
      <c r="E24" s="4">
        <v>8.0</v>
      </c>
      <c r="F24" s="4">
        <v>1.0</v>
      </c>
      <c r="G24" s="4">
        <v>3.0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>
        <v>7</v>
      </c>
      <c r="C25" s="4">
        <v>1</v>
      </c>
      <c r="D25" s="4">
        <v>12</v>
      </c>
      <c r="E25" s="4">
        <v>8.0</v>
      </c>
      <c r="F25" s="4">
        <v>1.0</v>
      </c>
      <c r="G25" s="4">
        <v>3.0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>
        <v>8</v>
      </c>
      <c r="C26" s="4">
        <v>1</v>
      </c>
      <c r="D26" s="4">
        <v>12</v>
      </c>
      <c r="E26" s="4">
        <v>8.0</v>
      </c>
      <c r="F26" s="4">
        <v>1.0</v>
      </c>
      <c r="G26" s="4">
        <v>3.0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>
        <v>9</v>
      </c>
      <c r="C27" s="4">
        <v>1</v>
      </c>
      <c r="D27" s="4">
        <v>12</v>
      </c>
      <c r="E27" s="4">
        <v>8.0</v>
      </c>
      <c r="F27" s="4">
        <v>1.0</v>
      </c>
      <c r="G27" s="4">
        <v>3.0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>
        <v>1</v>
      </c>
      <c r="C28" s="4">
        <v>1</v>
      </c>
      <c r="D28" s="4">
        <v>12</v>
      </c>
      <c r="E28" s="4">
        <v>8.0</v>
      </c>
      <c r="F28" s="4">
        <v>1.0</v>
      </c>
      <c r="G28" s="4">
        <v>3.0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>
        <v>2</v>
      </c>
      <c r="C29" s="4">
        <v>1</v>
      </c>
      <c r="D29" s="4">
        <v>12</v>
      </c>
      <c r="E29" s="4">
        <v>8.0</v>
      </c>
      <c r="F29" s="4">
        <v>1.0</v>
      </c>
      <c r="G29" s="4">
        <v>3.0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6848436.13</v>
      </c>
      <c r="P29" s="10"/>
      <c r="Q29" s="10"/>
    </row>
    <row r="30" spans="1:19">
      <c r="A30" s="6">
        <v>7</v>
      </c>
      <c r="B30" s="4">
        <v>3</v>
      </c>
      <c r="C30" s="4">
        <v>1</v>
      </c>
      <c r="D30" s="4">
        <v>12</v>
      </c>
      <c r="E30" s="4">
        <v>8.0</v>
      </c>
      <c r="F30" s="4">
        <v>1.0</v>
      </c>
      <c r="G30" s="4">
        <v>3.0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>
        <v>4</v>
      </c>
      <c r="C31" s="4">
        <v>1</v>
      </c>
      <c r="D31" s="4">
        <v>12</v>
      </c>
      <c r="E31" s="4">
        <v>8.0</v>
      </c>
      <c r="F31" s="4">
        <v>1.0</v>
      </c>
      <c r="G31" s="4">
        <v>3.0</v>
      </c>
      <c r="H31" s="4">
        <v>0.0</v>
      </c>
      <c r="I31" s="4">
        <v>0.0</v>
      </c>
      <c r="K31" s="10" t="s">
        <v>50</v>
      </c>
      <c r="L31" s="10"/>
      <c r="M31" s="28" t="s">
        <v>75</v>
      </c>
      <c r="N31" s="28" t="s">
        <v>294</v>
      </c>
      <c r="O31" s="25">
        <f>ROUNDDOWN(-(34242.00),0)</f>
        <v>-34242</v>
      </c>
      <c r="P31" s="10"/>
      <c r="Q31" s="10"/>
    </row>
    <row r="32" spans="1:19">
      <c r="A32" s="6">
        <v>9</v>
      </c>
      <c r="B32" s="4">
        <v>5</v>
      </c>
      <c r="C32" s="4">
        <v>1</v>
      </c>
      <c r="D32" s="4">
        <v>12</v>
      </c>
      <c r="E32" s="4">
        <v>8.0</v>
      </c>
      <c r="F32" s="4">
        <v>1.0</v>
      </c>
      <c r="G32" s="4">
        <v>3.0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>
        <v>6</v>
      </c>
      <c r="C33" s="4">
        <v>1</v>
      </c>
      <c r="D33" s="4">
        <v>12</v>
      </c>
      <c r="E33" s="4">
        <v>8.0</v>
      </c>
      <c r="F33" s="4">
        <v>1.0</v>
      </c>
      <c r="G33" s="4">
        <v>3.0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>
        <v>7</v>
      </c>
      <c r="C34" s="4">
        <v>1</v>
      </c>
      <c r="D34" s="4">
        <v>12</v>
      </c>
      <c r="E34" s="4">
        <v>8.0</v>
      </c>
      <c r="F34" s="4">
        <v>1.0</v>
      </c>
      <c r="G34" s="4">
        <v>3.0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>
        <v>8</v>
      </c>
      <c r="C35" s="4">
        <v>1</v>
      </c>
      <c r="D35" s="4">
        <v>12</v>
      </c>
      <c r="E35" s="4">
        <v>8.0</v>
      </c>
      <c r="F35" s="4">
        <v>1.0</v>
      </c>
      <c r="G35" s="4">
        <v>3.0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>
        <v>9</v>
      </c>
      <c r="C36" s="4">
        <v>1</v>
      </c>
      <c r="D36" s="4">
        <v>12</v>
      </c>
      <c r="E36" s="4">
        <v>8.0</v>
      </c>
      <c r="F36" s="4">
        <v>1.0</v>
      </c>
      <c r="G36" s="4">
        <v>3.0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>
        <v>1</v>
      </c>
      <c r="C37" s="4">
        <v>1</v>
      </c>
      <c r="D37" s="4">
        <v>12</v>
      </c>
      <c r="E37" s="4">
        <v>8.0</v>
      </c>
      <c r="F37" s="4">
        <v>1.0</v>
      </c>
      <c r="G37" s="4">
        <v>3.0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6474131.0</v>
      </c>
      <c r="P37" s="10"/>
      <c r="Q37" s="10"/>
    </row>
    <row r="38" spans="1:19">
      <c r="A38" s="6">
        <v>15</v>
      </c>
      <c r="B38" s="4">
        <v>2</v>
      </c>
      <c r="C38" s="4">
        <v>1</v>
      </c>
      <c r="D38" s="4">
        <v>12</v>
      </c>
      <c r="E38" s="4">
        <v>8.0</v>
      </c>
      <c r="F38" s="4">
        <v>1.0</v>
      </c>
      <c r="G38" s="4">
        <v>3.0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20</v>
      </c>
      <c r="D39" s="9">
        <v>240</v>
      </c>
      <c r="E39" s="9">
        <v>160.0</v>
      </c>
      <c r="F39" s="9">
        <v>20.0</v>
      </c>
      <c r="G39" s="9">
        <v>60.0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80.0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-31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6474100.0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311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313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314</v>
      </c>
      <c r="N4" s="10" t="s">
        <v>5</v>
      </c>
      <c r="O4" s="10">
        <v>251100043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68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128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315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 t="s">
        <v>39</v>
      </c>
      <c r="C9" s="4">
        <v>0</v>
      </c>
      <c r="D9" s="4">
        <v>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1524186.0</v>
      </c>
      <c r="P9" s="10"/>
      <c r="Q9" s="10"/>
    </row>
    <row r="10" spans="1:19">
      <c r="A10" s="6">
        <v>17</v>
      </c>
      <c r="B10" s="4" t="s">
        <v>39</v>
      </c>
      <c r="C10" s="4">
        <v>0</v>
      </c>
      <c r="D10" s="4">
        <v>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K10" s="10" t="s">
        <v>27</v>
      </c>
      <c r="L10" s="10"/>
      <c r="M10" s="25" t="s">
        <v>149</v>
      </c>
      <c r="N10" s="25">
        <v>264309.79</v>
      </c>
      <c r="O10" s="25"/>
      <c r="P10" s="10"/>
      <c r="Q10" s="10"/>
    </row>
    <row r="11" spans="1:19">
      <c r="A11" s="6">
        <v>18</v>
      </c>
      <c r="B11" s="4" t="s">
        <v>39</v>
      </c>
      <c r="C11" s="4">
        <v>0</v>
      </c>
      <c r="D11" s="4">
        <v>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K11" s="10" t="s">
        <v>29</v>
      </c>
      <c r="L11" s="10"/>
      <c r="M11" s="25" t="s">
        <v>150</v>
      </c>
      <c r="N11" s="25">
        <v>1057239.16</v>
      </c>
      <c r="O11" s="25"/>
      <c r="P11" s="10"/>
      <c r="Q11" s="10"/>
    </row>
    <row r="12" spans="1:19">
      <c r="A12" s="6">
        <v>19</v>
      </c>
      <c r="B12" s="4" t="s">
        <v>39</v>
      </c>
      <c r="C12" s="4">
        <v>0</v>
      </c>
      <c r="D12" s="4">
        <v>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 t="s">
        <v>39</v>
      </c>
      <c r="C13" s="4">
        <v>0</v>
      </c>
      <c r="D13" s="4">
        <v>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 t="s">
        <v>39</v>
      </c>
      <c r="C14" s="4">
        <v>0</v>
      </c>
      <c r="D14" s="4">
        <v>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1321549.0</v>
      </c>
      <c r="P14" s="10"/>
      <c r="Q14" s="10"/>
    </row>
    <row r="15" spans="1:19">
      <c r="A15" s="6">
        <v>22</v>
      </c>
      <c r="B15" s="4" t="s">
        <v>39</v>
      </c>
      <c r="C15" s="4">
        <v>0</v>
      </c>
      <c r="D15" s="4">
        <v>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 t="s">
        <v>39</v>
      </c>
      <c r="C16" s="4">
        <v>0</v>
      </c>
      <c r="D16" s="4">
        <v>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>
        <v>1</v>
      </c>
      <c r="C17" s="4" t="s">
        <v>25</v>
      </c>
      <c r="D17" s="4">
        <v>12</v>
      </c>
      <c r="E17" s="4">
        <v>8.0</v>
      </c>
      <c r="F17" s="4">
        <v>1.0</v>
      </c>
      <c r="G17" s="4">
        <v>3.0</v>
      </c>
      <c r="H17" s="4">
        <v>0.0</v>
      </c>
      <c r="I17" s="4">
        <v>0.0</v>
      </c>
      <c r="K17" s="10" t="s">
        <v>36</v>
      </c>
      <c r="L17" s="10"/>
      <c r="M17" s="27" t="s">
        <v>151</v>
      </c>
      <c r="N17" s="25">
        <v>54000</v>
      </c>
      <c r="O17" s="25"/>
      <c r="P17" s="10"/>
      <c r="Q17" s="10"/>
    </row>
    <row r="18" spans="1:19">
      <c r="A18" s="6">
        <v>25</v>
      </c>
      <c r="B18" s="4">
        <v>2</v>
      </c>
      <c r="C18" s="4" t="s">
        <v>25</v>
      </c>
      <c r="D18" s="4">
        <v>12</v>
      </c>
      <c r="E18" s="4">
        <v>8.0</v>
      </c>
      <c r="F18" s="4">
        <v>1.0</v>
      </c>
      <c r="G18" s="4">
        <v>3.0</v>
      </c>
      <c r="H18" s="4">
        <v>0.0</v>
      </c>
      <c r="I18" s="4">
        <v>0.0</v>
      </c>
      <c r="K18" s="10" t="s">
        <v>38</v>
      </c>
      <c r="L18" s="10"/>
      <c r="M18" s="27" t="s">
        <v>151</v>
      </c>
      <c r="N18" s="25">
        <v>90000</v>
      </c>
      <c r="O18" s="25"/>
      <c r="P18" s="10"/>
      <c r="Q18" s="10"/>
    </row>
    <row r="19" spans="1:19">
      <c r="A19" s="6">
        <v>26</v>
      </c>
      <c r="B19" s="4" t="s">
        <v>39</v>
      </c>
      <c r="C19" s="4">
        <v>0</v>
      </c>
      <c r="D19" s="4">
        <v>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K19" s="10" t="s">
        <v>40</v>
      </c>
      <c r="L19" s="10"/>
      <c r="M19" s="27" t="s">
        <v>100</v>
      </c>
      <c r="N19" s="25">
        <v>50806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 t="s">
        <v>39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 t="s">
        <v>39</v>
      </c>
      <c r="C22" s="4">
        <v>0</v>
      </c>
      <c r="D22" s="4">
        <v>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194806</v>
      </c>
      <c r="P22" s="10"/>
      <c r="Q22" s="10"/>
    </row>
    <row r="23" spans="1:19">
      <c r="A23" s="6">
        <v>30</v>
      </c>
      <c r="B23" s="4" t="s">
        <v>39</v>
      </c>
      <c r="C23" s="4">
        <v>0</v>
      </c>
      <c r="D23" s="4">
        <v>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 t="s">
        <v>39</v>
      </c>
      <c r="C24" s="4">
        <v>0</v>
      </c>
      <c r="D24" s="4">
        <v>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 t="s">
        <v>39</v>
      </c>
      <c r="C25" s="4">
        <v>0</v>
      </c>
      <c r="D25" s="4">
        <v>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 t="s">
        <v>39</v>
      </c>
      <c r="C26" s="4">
        <v>0</v>
      </c>
      <c r="D26" s="4">
        <v>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 t="s">
        <v>39</v>
      </c>
      <c r="C27" s="4">
        <v>0</v>
      </c>
      <c r="D27" s="4">
        <v>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 t="s">
        <v>39</v>
      </c>
      <c r="C28" s="4">
        <v>0</v>
      </c>
      <c r="D28" s="4">
        <v>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 t="s">
        <v>39</v>
      </c>
      <c r="C29" s="4">
        <v>0</v>
      </c>
      <c r="D29" s="4">
        <v>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3245121.09</v>
      </c>
      <c r="P29" s="10"/>
      <c r="Q29" s="10"/>
    </row>
    <row r="30" spans="1:19">
      <c r="A30" s="6">
        <v>7</v>
      </c>
      <c r="B30" s="4" t="s">
        <v>39</v>
      </c>
      <c r="C30" s="4">
        <v>0</v>
      </c>
      <c r="D30" s="4">
        <v>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134</v>
      </c>
      <c r="N31" s="28" t="s">
        <v>52</v>
      </c>
      <c r="O31" s="25">
        <f>ROUNDDOWN(-(0.00),0)</f>
        <v>0</v>
      </c>
      <c r="P31" s="10"/>
      <c r="Q31" s="10"/>
    </row>
    <row r="32" spans="1:19">
      <c r="A32" s="6">
        <v>9</v>
      </c>
      <c r="B32" s="4">
        <v>1</v>
      </c>
      <c r="C32" s="4">
        <v>1</v>
      </c>
      <c r="D32" s="4">
        <v>12</v>
      </c>
      <c r="E32" s="4">
        <v>8.0</v>
      </c>
      <c r="F32" s="4">
        <v>1.0</v>
      </c>
      <c r="G32" s="4">
        <v>3.0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>
        <v>2</v>
      </c>
      <c r="C33" s="4">
        <v>1</v>
      </c>
      <c r="D33" s="4">
        <v>12</v>
      </c>
      <c r="E33" s="4">
        <v>8.0</v>
      </c>
      <c r="F33" s="4">
        <v>1.0</v>
      </c>
      <c r="G33" s="4">
        <v>3.0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>
        <v>3</v>
      </c>
      <c r="C34" s="4">
        <v>1</v>
      </c>
      <c r="D34" s="4">
        <v>12</v>
      </c>
      <c r="E34" s="4">
        <v>8.0</v>
      </c>
      <c r="F34" s="4">
        <v>1.0</v>
      </c>
      <c r="G34" s="4">
        <v>3.0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>
        <v>4</v>
      </c>
      <c r="C35" s="4">
        <v>1</v>
      </c>
      <c r="D35" s="4">
        <v>12</v>
      </c>
      <c r="E35" s="4">
        <v>8.0</v>
      </c>
      <c r="F35" s="4">
        <v>1.0</v>
      </c>
      <c r="G35" s="4">
        <v>3.0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>
        <v>5</v>
      </c>
      <c r="C36" s="4">
        <v>1</v>
      </c>
      <c r="D36" s="4">
        <v>12</v>
      </c>
      <c r="E36" s="4">
        <v>8.0</v>
      </c>
      <c r="F36" s="4">
        <v>1.0</v>
      </c>
      <c r="G36" s="4">
        <v>3.0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>
        <v>6</v>
      </c>
      <c r="C37" s="4">
        <v>1</v>
      </c>
      <c r="D37" s="4">
        <v>12</v>
      </c>
      <c r="E37" s="4">
        <v>8.0</v>
      </c>
      <c r="F37" s="4">
        <v>1.0</v>
      </c>
      <c r="G37" s="4">
        <v>3.0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2905058.0</v>
      </c>
      <c r="P37" s="10"/>
      <c r="Q37" s="10"/>
    </row>
    <row r="38" spans="1:19">
      <c r="A38" s="6">
        <v>15</v>
      </c>
      <c r="B38" s="4">
        <v>7</v>
      </c>
      <c r="C38" s="4">
        <v>1</v>
      </c>
      <c r="D38" s="4">
        <v>12</v>
      </c>
      <c r="E38" s="4">
        <v>8.0</v>
      </c>
      <c r="F38" s="4">
        <v>1.0</v>
      </c>
      <c r="G38" s="4">
        <v>3.0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9</v>
      </c>
      <c r="D39" s="9">
        <v>108</v>
      </c>
      <c r="E39" s="9">
        <v>72.0</v>
      </c>
      <c r="F39" s="9">
        <v>9.0</v>
      </c>
      <c r="G39" s="9">
        <v>27.0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36.0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42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2905100.0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314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316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317</v>
      </c>
      <c r="N4" s="10" t="s">
        <v>5</v>
      </c>
      <c r="O4" s="10">
        <v>251100025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113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114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318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>
        <v>1</v>
      </c>
      <c r="C9" s="4">
        <v>1</v>
      </c>
      <c r="D9" s="4">
        <v>12</v>
      </c>
      <c r="E9" s="4">
        <v>8.0</v>
      </c>
      <c r="F9" s="4">
        <v>1.0</v>
      </c>
      <c r="G9" s="4">
        <v>3.0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5080622.0</v>
      </c>
      <c r="P9" s="10"/>
      <c r="Q9" s="10"/>
    </row>
    <row r="10" spans="1:19">
      <c r="A10" s="6">
        <v>17</v>
      </c>
      <c r="B10" s="4">
        <v>2</v>
      </c>
      <c r="C10" s="4">
        <v>1</v>
      </c>
      <c r="D10" s="4">
        <v>12</v>
      </c>
      <c r="E10" s="4">
        <v>8.0</v>
      </c>
      <c r="F10" s="4">
        <v>1.0</v>
      </c>
      <c r="G10" s="4">
        <v>3.0</v>
      </c>
      <c r="H10" s="4">
        <v>0.0</v>
      </c>
      <c r="I10" s="4">
        <v>0.0</v>
      </c>
      <c r="K10" s="10" t="s">
        <v>27</v>
      </c>
      <c r="L10" s="10"/>
      <c r="M10" s="25" t="s">
        <v>319</v>
      </c>
      <c r="N10" s="25">
        <v>881032.63</v>
      </c>
      <c r="O10" s="25"/>
      <c r="P10" s="10"/>
      <c r="Q10" s="10"/>
    </row>
    <row r="11" spans="1:19">
      <c r="A11" s="6">
        <v>18</v>
      </c>
      <c r="B11" s="4">
        <v>3</v>
      </c>
      <c r="C11" s="4">
        <v>1</v>
      </c>
      <c r="D11" s="4">
        <v>12</v>
      </c>
      <c r="E11" s="4">
        <v>8.0</v>
      </c>
      <c r="F11" s="4">
        <v>1.0</v>
      </c>
      <c r="G11" s="4">
        <v>3.0</v>
      </c>
      <c r="H11" s="4">
        <v>0.0</v>
      </c>
      <c r="I11" s="4">
        <v>0.0</v>
      </c>
      <c r="K11" s="10" t="s">
        <v>29</v>
      </c>
      <c r="L11" s="10"/>
      <c r="M11" s="25" t="s">
        <v>320</v>
      </c>
      <c r="N11" s="25">
        <v>3524130.52</v>
      </c>
      <c r="O11" s="25"/>
      <c r="P11" s="10"/>
      <c r="Q11" s="10"/>
    </row>
    <row r="12" spans="1:19">
      <c r="A12" s="6">
        <v>19</v>
      </c>
      <c r="B12" s="4">
        <v>4</v>
      </c>
      <c r="C12" s="4">
        <v>1</v>
      </c>
      <c r="D12" s="4">
        <v>12</v>
      </c>
      <c r="E12" s="4">
        <v>8.0</v>
      </c>
      <c r="F12" s="4">
        <v>1.0</v>
      </c>
      <c r="G12" s="4">
        <v>3.0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>
        <v>5</v>
      </c>
      <c r="C13" s="4">
        <v>1</v>
      </c>
      <c r="D13" s="4">
        <v>12</v>
      </c>
      <c r="E13" s="4">
        <v>8.0</v>
      </c>
      <c r="F13" s="4">
        <v>1.0</v>
      </c>
      <c r="G13" s="4">
        <v>3.0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>
        <v>6</v>
      </c>
      <c r="C14" s="4">
        <v>1</v>
      </c>
      <c r="D14" s="4">
        <v>12</v>
      </c>
      <c r="E14" s="4">
        <v>8.0</v>
      </c>
      <c r="F14" s="4">
        <v>1.0</v>
      </c>
      <c r="G14" s="4">
        <v>3.0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4405163.0</v>
      </c>
      <c r="P14" s="10"/>
      <c r="Q14" s="10"/>
    </row>
    <row r="15" spans="1:19">
      <c r="A15" s="6">
        <v>22</v>
      </c>
      <c r="B15" s="4">
        <v>7</v>
      </c>
      <c r="C15" s="4">
        <v>1</v>
      </c>
      <c r="D15" s="4">
        <v>12</v>
      </c>
      <c r="E15" s="4">
        <v>8.0</v>
      </c>
      <c r="F15" s="4">
        <v>1.0</v>
      </c>
      <c r="G15" s="4">
        <v>3.0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>
        <v>8</v>
      </c>
      <c r="C16" s="4">
        <v>1</v>
      </c>
      <c r="D16" s="4">
        <v>12</v>
      </c>
      <c r="E16" s="4">
        <v>8.0</v>
      </c>
      <c r="F16" s="4">
        <v>1.0</v>
      </c>
      <c r="G16" s="4">
        <v>3.0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>
        <v>9</v>
      </c>
      <c r="C17" s="4">
        <v>1</v>
      </c>
      <c r="D17" s="4">
        <v>12</v>
      </c>
      <c r="E17" s="4">
        <v>8.0</v>
      </c>
      <c r="F17" s="4">
        <v>1.0</v>
      </c>
      <c r="G17" s="4">
        <v>3.0</v>
      </c>
      <c r="H17" s="4">
        <v>0.0</v>
      </c>
      <c r="I17" s="4">
        <v>0.0</v>
      </c>
      <c r="K17" s="10" t="s">
        <v>36</v>
      </c>
      <c r="L17" s="10"/>
      <c r="M17" s="27" t="s">
        <v>321</v>
      </c>
      <c r="N17" s="25">
        <v>180000</v>
      </c>
      <c r="O17" s="25"/>
      <c r="P17" s="10"/>
      <c r="Q17" s="10"/>
    </row>
    <row r="18" spans="1:19">
      <c r="A18" s="6">
        <v>25</v>
      </c>
      <c r="B18" s="4">
        <v>1</v>
      </c>
      <c r="C18" s="4">
        <v>1</v>
      </c>
      <c r="D18" s="4">
        <v>12</v>
      </c>
      <c r="E18" s="4">
        <v>8.0</v>
      </c>
      <c r="F18" s="4">
        <v>1.0</v>
      </c>
      <c r="G18" s="4">
        <v>3.0</v>
      </c>
      <c r="H18" s="4">
        <v>0.0</v>
      </c>
      <c r="I18" s="4">
        <v>0.0</v>
      </c>
      <c r="K18" s="10" t="s">
        <v>38</v>
      </c>
      <c r="L18" s="10"/>
      <c r="M18" s="27" t="s">
        <v>321</v>
      </c>
      <c r="N18" s="25">
        <v>300000</v>
      </c>
      <c r="O18" s="25"/>
      <c r="P18" s="10"/>
      <c r="Q18" s="10"/>
    </row>
    <row r="19" spans="1:19">
      <c r="A19" s="6">
        <v>26</v>
      </c>
      <c r="B19" s="4">
        <v>2</v>
      </c>
      <c r="C19" s="4">
        <v>1</v>
      </c>
      <c r="D19" s="4">
        <v>12</v>
      </c>
      <c r="E19" s="4">
        <v>8.0</v>
      </c>
      <c r="F19" s="4">
        <v>1.0</v>
      </c>
      <c r="G19" s="4">
        <v>3.0</v>
      </c>
      <c r="H19" s="4">
        <v>0.0</v>
      </c>
      <c r="I19" s="4">
        <v>0.0</v>
      </c>
      <c r="K19" s="10" t="s">
        <v>40</v>
      </c>
      <c r="L19" s="10"/>
      <c r="M19" s="27" t="s">
        <v>80</v>
      </c>
      <c r="N19" s="25">
        <v>0</v>
      </c>
      <c r="O19" s="25"/>
      <c r="P19" s="10"/>
      <c r="Q19" s="10"/>
    </row>
    <row r="20" spans="1:19">
      <c r="A20" s="6">
        <v>27</v>
      </c>
      <c r="B20" s="4">
        <v>3</v>
      </c>
      <c r="C20" s="4">
        <v>1</v>
      </c>
      <c r="D20" s="4">
        <v>12</v>
      </c>
      <c r="E20" s="4">
        <v>8.0</v>
      </c>
      <c r="F20" s="4">
        <v>1.0</v>
      </c>
      <c r="G20" s="4">
        <v>3.0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>
        <v>4</v>
      </c>
      <c r="C21" s="4">
        <v>1</v>
      </c>
      <c r="D21" s="4">
        <v>12</v>
      </c>
      <c r="E21" s="4">
        <v>8.0</v>
      </c>
      <c r="F21" s="4">
        <v>1.0</v>
      </c>
      <c r="G21" s="4">
        <v>3.0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>
        <v>5</v>
      </c>
      <c r="C22" s="4">
        <v>1</v>
      </c>
      <c r="D22" s="4">
        <v>12</v>
      </c>
      <c r="E22" s="4">
        <v>8.0</v>
      </c>
      <c r="F22" s="4">
        <v>1.0</v>
      </c>
      <c r="G22" s="4">
        <v>3.0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480000</v>
      </c>
      <c r="P22" s="10"/>
      <c r="Q22" s="10"/>
    </row>
    <row r="23" spans="1:19">
      <c r="A23" s="6">
        <v>30</v>
      </c>
      <c r="B23" s="4">
        <v>6</v>
      </c>
      <c r="C23" s="4">
        <v>1</v>
      </c>
      <c r="D23" s="4">
        <v>12</v>
      </c>
      <c r="E23" s="4">
        <v>8.0</v>
      </c>
      <c r="F23" s="4">
        <v>1.0</v>
      </c>
      <c r="G23" s="4">
        <v>3.0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>
        <v>7</v>
      </c>
      <c r="C24" s="4">
        <v>1</v>
      </c>
      <c r="D24" s="4">
        <v>12</v>
      </c>
      <c r="E24" s="4">
        <v>8.0</v>
      </c>
      <c r="F24" s="4">
        <v>1.0</v>
      </c>
      <c r="G24" s="4">
        <v>3.0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>
        <v>8</v>
      </c>
      <c r="C25" s="4">
        <v>1</v>
      </c>
      <c r="D25" s="4">
        <v>12</v>
      </c>
      <c r="E25" s="4">
        <v>8.0</v>
      </c>
      <c r="F25" s="4">
        <v>1.0</v>
      </c>
      <c r="G25" s="4">
        <v>3.0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>
        <v>9</v>
      </c>
      <c r="C26" s="4">
        <v>1</v>
      </c>
      <c r="D26" s="4">
        <v>12</v>
      </c>
      <c r="E26" s="4">
        <v>8.0</v>
      </c>
      <c r="F26" s="4">
        <v>1.0</v>
      </c>
      <c r="G26" s="4">
        <v>3.0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>
        <v>1</v>
      </c>
      <c r="C27" s="4">
        <v>1</v>
      </c>
      <c r="D27" s="4">
        <v>12</v>
      </c>
      <c r="E27" s="4">
        <v>8.0</v>
      </c>
      <c r="F27" s="4">
        <v>1.0</v>
      </c>
      <c r="G27" s="4">
        <v>3.0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>
        <v>2</v>
      </c>
      <c r="C28" s="4">
        <v>1</v>
      </c>
      <c r="D28" s="4">
        <v>12</v>
      </c>
      <c r="E28" s="4">
        <v>8.0</v>
      </c>
      <c r="F28" s="4">
        <v>1.0</v>
      </c>
      <c r="G28" s="4">
        <v>3.0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>
        <v>3</v>
      </c>
      <c r="C29" s="4">
        <v>1</v>
      </c>
      <c r="D29" s="4">
        <v>12</v>
      </c>
      <c r="E29" s="4">
        <v>8.0</v>
      </c>
      <c r="F29" s="4">
        <v>1.0</v>
      </c>
      <c r="G29" s="4">
        <v>3.0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10170364.34</v>
      </c>
      <c r="P29" s="10"/>
      <c r="Q29" s="10"/>
    </row>
    <row r="30" spans="1:19">
      <c r="A30" s="6">
        <v>7</v>
      </c>
      <c r="B30" s="4">
        <v>4</v>
      </c>
      <c r="C30" s="4">
        <v>1</v>
      </c>
      <c r="D30" s="4">
        <v>12</v>
      </c>
      <c r="E30" s="4">
        <v>8.0</v>
      </c>
      <c r="F30" s="4">
        <v>1.0</v>
      </c>
      <c r="G30" s="4">
        <v>3.0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>
        <v>5</v>
      </c>
      <c r="C31" s="4">
        <v>1</v>
      </c>
      <c r="D31" s="4">
        <v>12</v>
      </c>
      <c r="E31" s="4">
        <v>8.0</v>
      </c>
      <c r="F31" s="4">
        <v>1.0</v>
      </c>
      <c r="G31" s="4">
        <v>3.0</v>
      </c>
      <c r="H31" s="4">
        <v>0.0</v>
      </c>
      <c r="I31" s="4">
        <v>0.0</v>
      </c>
      <c r="K31" s="10" t="s">
        <v>50</v>
      </c>
      <c r="L31" s="10"/>
      <c r="M31" s="28" t="s">
        <v>75</v>
      </c>
      <c r="N31" s="28" t="s">
        <v>145</v>
      </c>
      <c r="O31" s="25">
        <f>ROUNDDOWN(-(152555.00),0)</f>
        <v>-152555</v>
      </c>
      <c r="P31" s="10"/>
      <c r="Q31" s="10"/>
    </row>
    <row r="32" spans="1:19">
      <c r="A32" s="6">
        <v>9</v>
      </c>
      <c r="B32" s="4">
        <v>6</v>
      </c>
      <c r="C32" s="4">
        <v>1</v>
      </c>
      <c r="D32" s="4">
        <v>12</v>
      </c>
      <c r="E32" s="4">
        <v>8.0</v>
      </c>
      <c r="F32" s="4">
        <v>1.0</v>
      </c>
      <c r="G32" s="4">
        <v>3.0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>
        <v>7</v>
      </c>
      <c r="C33" s="4">
        <v>1</v>
      </c>
      <c r="D33" s="4">
        <v>12</v>
      </c>
      <c r="E33" s="4">
        <v>8.0</v>
      </c>
      <c r="F33" s="4">
        <v>1.0</v>
      </c>
      <c r="G33" s="4">
        <v>3.0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>
        <v>8</v>
      </c>
      <c r="C34" s="4">
        <v>1</v>
      </c>
      <c r="D34" s="4">
        <v>12</v>
      </c>
      <c r="E34" s="4">
        <v>8.0</v>
      </c>
      <c r="F34" s="4">
        <v>1.0</v>
      </c>
      <c r="G34" s="4">
        <v>3.0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>
        <v>9</v>
      </c>
      <c r="C35" s="4">
        <v>1</v>
      </c>
      <c r="D35" s="4">
        <v>12</v>
      </c>
      <c r="E35" s="4">
        <v>8.0</v>
      </c>
      <c r="F35" s="4">
        <v>1.0</v>
      </c>
      <c r="G35" s="4">
        <v>3.0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>
        <v>1</v>
      </c>
      <c r="C36" s="4">
        <v>1</v>
      </c>
      <c r="D36" s="4">
        <v>12</v>
      </c>
      <c r="E36" s="4">
        <v>8.0</v>
      </c>
      <c r="F36" s="4">
        <v>1.0</v>
      </c>
      <c r="G36" s="4">
        <v>3.0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>
        <v>2</v>
      </c>
      <c r="C37" s="4">
        <v>1</v>
      </c>
      <c r="D37" s="4">
        <v>12</v>
      </c>
      <c r="E37" s="4">
        <v>8.0</v>
      </c>
      <c r="F37" s="4">
        <v>1.0</v>
      </c>
      <c r="G37" s="4">
        <v>3.0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9677746.0</v>
      </c>
      <c r="P37" s="10"/>
      <c r="Q37" s="10"/>
    </row>
    <row r="38" spans="1:19">
      <c r="A38" s="6">
        <v>15</v>
      </c>
      <c r="B38" s="4">
        <v>3</v>
      </c>
      <c r="C38" s="4">
        <v>1</v>
      </c>
      <c r="D38" s="4">
        <v>12</v>
      </c>
      <c r="E38" s="4">
        <v>8.0</v>
      </c>
      <c r="F38" s="4">
        <v>1.0</v>
      </c>
      <c r="G38" s="4">
        <v>3.0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30</v>
      </c>
      <c r="D39" s="9">
        <v>360</v>
      </c>
      <c r="E39" s="9">
        <v>240.0</v>
      </c>
      <c r="F39" s="9">
        <v>30.0</v>
      </c>
      <c r="G39" s="9">
        <v>90.0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120.0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-46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9677700.0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317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322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323</v>
      </c>
      <c r="N4" s="10" t="s">
        <v>5</v>
      </c>
      <c r="O4" s="10">
        <v>250700037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110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114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324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 t="s">
        <v>39</v>
      </c>
      <c r="C9" s="4">
        <v>0</v>
      </c>
      <c r="D9" s="4">
        <v>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2879019.0</v>
      </c>
      <c r="P9" s="10"/>
      <c r="Q9" s="10"/>
    </row>
    <row r="10" spans="1:19">
      <c r="A10" s="6">
        <v>17</v>
      </c>
      <c r="B10" s="4" t="s">
        <v>39</v>
      </c>
      <c r="C10" s="4">
        <v>0</v>
      </c>
      <c r="D10" s="4">
        <v>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K10" s="10" t="s">
        <v>27</v>
      </c>
      <c r="L10" s="10"/>
      <c r="M10" s="25" t="s">
        <v>130</v>
      </c>
      <c r="N10" s="25">
        <v>499251.82</v>
      </c>
      <c r="O10" s="25"/>
      <c r="P10" s="10"/>
      <c r="Q10" s="10"/>
    </row>
    <row r="11" spans="1:19">
      <c r="A11" s="6">
        <v>18</v>
      </c>
      <c r="B11" s="4">
        <v>1</v>
      </c>
      <c r="C11" s="4" t="s">
        <v>25</v>
      </c>
      <c r="D11" s="4">
        <v>12</v>
      </c>
      <c r="E11" s="4">
        <v>8.0</v>
      </c>
      <c r="F11" s="4">
        <v>1.0</v>
      </c>
      <c r="G11" s="4">
        <v>3.0</v>
      </c>
      <c r="H11" s="4">
        <v>0.0</v>
      </c>
      <c r="I11" s="4">
        <v>0.0</v>
      </c>
      <c r="K11" s="10" t="s">
        <v>29</v>
      </c>
      <c r="L11" s="10"/>
      <c r="M11" s="25" t="s">
        <v>131</v>
      </c>
      <c r="N11" s="25">
        <v>1997007.29</v>
      </c>
      <c r="O11" s="25"/>
      <c r="P11" s="10"/>
      <c r="Q11" s="10"/>
    </row>
    <row r="12" spans="1:19">
      <c r="A12" s="6">
        <v>19</v>
      </c>
      <c r="B12" s="4">
        <v>2</v>
      </c>
      <c r="C12" s="4" t="s">
        <v>25</v>
      </c>
      <c r="D12" s="4">
        <v>12</v>
      </c>
      <c r="E12" s="4">
        <v>8.0</v>
      </c>
      <c r="F12" s="4">
        <v>1.0</v>
      </c>
      <c r="G12" s="4">
        <v>3.0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>
        <v>3</v>
      </c>
      <c r="C13" s="4" t="s">
        <v>25</v>
      </c>
      <c r="D13" s="4">
        <v>12</v>
      </c>
      <c r="E13" s="4">
        <v>8.0</v>
      </c>
      <c r="F13" s="4">
        <v>1.0</v>
      </c>
      <c r="G13" s="4">
        <v>3.0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>
        <v>4</v>
      </c>
      <c r="C14" s="4" t="s">
        <v>25</v>
      </c>
      <c r="D14" s="4">
        <v>12</v>
      </c>
      <c r="E14" s="4">
        <v>8.0</v>
      </c>
      <c r="F14" s="4">
        <v>1.0</v>
      </c>
      <c r="G14" s="4">
        <v>3.0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2496259.0</v>
      </c>
      <c r="P14" s="10"/>
      <c r="Q14" s="10"/>
    </row>
    <row r="15" spans="1:19">
      <c r="A15" s="6">
        <v>22</v>
      </c>
      <c r="B15" s="4">
        <v>5</v>
      </c>
      <c r="C15" s="4" t="s">
        <v>25</v>
      </c>
      <c r="D15" s="4">
        <v>12</v>
      </c>
      <c r="E15" s="4">
        <v>8.0</v>
      </c>
      <c r="F15" s="4">
        <v>1.0</v>
      </c>
      <c r="G15" s="4">
        <v>3.0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>
        <v>6</v>
      </c>
      <c r="C16" s="4" t="s">
        <v>25</v>
      </c>
      <c r="D16" s="4">
        <v>12</v>
      </c>
      <c r="E16" s="4">
        <v>8.0</v>
      </c>
      <c r="F16" s="4">
        <v>1.0</v>
      </c>
      <c r="G16" s="4">
        <v>3.0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>
        <v>7</v>
      </c>
      <c r="C17" s="4" t="s">
        <v>25</v>
      </c>
      <c r="D17" s="4">
        <v>12</v>
      </c>
      <c r="E17" s="4">
        <v>8.0</v>
      </c>
      <c r="F17" s="4">
        <v>1.0</v>
      </c>
      <c r="G17" s="4">
        <v>3.0</v>
      </c>
      <c r="H17" s="4">
        <v>0.0</v>
      </c>
      <c r="I17" s="4">
        <v>0.0</v>
      </c>
      <c r="K17" s="10" t="s">
        <v>36</v>
      </c>
      <c r="L17" s="10"/>
      <c r="M17" s="27" t="s">
        <v>132</v>
      </c>
      <c r="N17" s="25">
        <v>102000</v>
      </c>
      <c r="O17" s="25"/>
      <c r="P17" s="10"/>
      <c r="Q17" s="10"/>
    </row>
    <row r="18" spans="1:19">
      <c r="A18" s="6">
        <v>25</v>
      </c>
      <c r="B18" s="4">
        <v>8</v>
      </c>
      <c r="C18" s="4" t="s">
        <v>25</v>
      </c>
      <c r="D18" s="4">
        <v>12</v>
      </c>
      <c r="E18" s="4">
        <v>8.0</v>
      </c>
      <c r="F18" s="4">
        <v>1.0</v>
      </c>
      <c r="G18" s="4">
        <v>3.0</v>
      </c>
      <c r="H18" s="4">
        <v>0.0</v>
      </c>
      <c r="I18" s="4">
        <v>0.0</v>
      </c>
      <c r="K18" s="10" t="s">
        <v>38</v>
      </c>
      <c r="L18" s="10"/>
      <c r="M18" s="27" t="s">
        <v>132</v>
      </c>
      <c r="N18" s="25">
        <v>170000</v>
      </c>
      <c r="O18" s="25"/>
      <c r="P18" s="10"/>
      <c r="Q18" s="10"/>
    </row>
    <row r="19" spans="1:19">
      <c r="A19" s="6">
        <v>26</v>
      </c>
      <c r="B19" s="4">
        <v>9</v>
      </c>
      <c r="C19" s="4" t="s">
        <v>25</v>
      </c>
      <c r="D19" s="4">
        <v>12</v>
      </c>
      <c r="E19" s="4">
        <v>8.0</v>
      </c>
      <c r="F19" s="4">
        <v>1.0</v>
      </c>
      <c r="G19" s="4">
        <v>3.0</v>
      </c>
      <c r="H19" s="4">
        <v>0.0</v>
      </c>
      <c r="I19" s="4">
        <v>0.0</v>
      </c>
      <c r="K19" s="10" t="s">
        <v>40</v>
      </c>
      <c r="L19" s="10"/>
      <c r="M19" s="27" t="s">
        <v>132</v>
      </c>
      <c r="N19" s="25">
        <v>431853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 t="s">
        <v>39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>
        <v>1</v>
      </c>
      <c r="C22" s="4" t="s">
        <v>25</v>
      </c>
      <c r="D22" s="4">
        <v>12</v>
      </c>
      <c r="E22" s="4">
        <v>8.0</v>
      </c>
      <c r="F22" s="4">
        <v>1.0</v>
      </c>
      <c r="G22" s="4">
        <v>3.0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703853</v>
      </c>
      <c r="P22" s="10"/>
      <c r="Q22" s="10"/>
    </row>
    <row r="23" spans="1:19">
      <c r="A23" s="6">
        <v>30</v>
      </c>
      <c r="B23" s="4">
        <v>2</v>
      </c>
      <c r="C23" s="4" t="s">
        <v>25</v>
      </c>
      <c r="D23" s="4">
        <v>12</v>
      </c>
      <c r="E23" s="4">
        <v>8.0</v>
      </c>
      <c r="F23" s="4">
        <v>1.0</v>
      </c>
      <c r="G23" s="4">
        <v>3.0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>
        <v>3</v>
      </c>
      <c r="C24" s="4" t="s">
        <v>25</v>
      </c>
      <c r="D24" s="4">
        <v>12</v>
      </c>
      <c r="E24" s="4">
        <v>8.0</v>
      </c>
      <c r="F24" s="4">
        <v>1.0</v>
      </c>
      <c r="G24" s="4">
        <v>3.0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>
        <v>4</v>
      </c>
      <c r="C25" s="4" t="s">
        <v>25</v>
      </c>
      <c r="D25" s="4">
        <v>12</v>
      </c>
      <c r="E25" s="4">
        <v>8.0</v>
      </c>
      <c r="F25" s="4">
        <v>1.0</v>
      </c>
      <c r="G25" s="4">
        <v>3.0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>
        <v>5</v>
      </c>
      <c r="C26" s="4" t="s">
        <v>25</v>
      </c>
      <c r="D26" s="4">
        <v>12</v>
      </c>
      <c r="E26" s="4">
        <v>8.0</v>
      </c>
      <c r="F26" s="4">
        <v>1.0</v>
      </c>
      <c r="G26" s="4">
        <v>3.0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>
        <v>6</v>
      </c>
      <c r="C27" s="4" t="s">
        <v>25</v>
      </c>
      <c r="D27" s="4">
        <v>12</v>
      </c>
      <c r="E27" s="4">
        <v>8.0</v>
      </c>
      <c r="F27" s="4">
        <v>1.0</v>
      </c>
      <c r="G27" s="4">
        <v>3.0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>
        <v>7</v>
      </c>
      <c r="C28" s="4" t="s">
        <v>25</v>
      </c>
      <c r="D28" s="4">
        <v>12</v>
      </c>
      <c r="E28" s="4">
        <v>8.0</v>
      </c>
      <c r="F28" s="4">
        <v>1.0</v>
      </c>
      <c r="G28" s="4">
        <v>3.0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>
        <v>8</v>
      </c>
      <c r="C29" s="4" t="s">
        <v>25</v>
      </c>
      <c r="D29" s="4">
        <v>12</v>
      </c>
      <c r="E29" s="4">
        <v>8.0</v>
      </c>
      <c r="F29" s="4">
        <v>1.0</v>
      </c>
      <c r="G29" s="4">
        <v>3.0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6283710.65</v>
      </c>
      <c r="P29" s="10"/>
      <c r="Q29" s="10"/>
    </row>
    <row r="30" spans="1:19">
      <c r="A30" s="6">
        <v>7</v>
      </c>
      <c r="B30" s="4" t="s">
        <v>39</v>
      </c>
      <c r="C30" s="4">
        <v>0</v>
      </c>
      <c r="D30" s="4">
        <v>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75</v>
      </c>
      <c r="N31" s="28" t="s">
        <v>186</v>
      </c>
      <c r="O31" s="25">
        <f>ROUNDDOWN(-(15709.00),0)</f>
        <v>-15709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39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 t="s">
        <v>39</v>
      </c>
      <c r="C37" s="4">
        <v>0</v>
      </c>
      <c r="D37" s="4">
        <v>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5927939.0</v>
      </c>
      <c r="P37" s="10"/>
      <c r="Q37" s="10"/>
    </row>
    <row r="38" spans="1:19">
      <c r="A38" s="6">
        <v>15</v>
      </c>
      <c r="B38" s="4" t="s">
        <v>39</v>
      </c>
      <c r="C38" s="4">
        <v>0</v>
      </c>
      <c r="D38" s="4">
        <v>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17</v>
      </c>
      <c r="D39" s="9">
        <v>204</v>
      </c>
      <c r="E39" s="9">
        <v>136.0</v>
      </c>
      <c r="F39" s="9">
        <v>17.0</v>
      </c>
      <c r="G39" s="9">
        <v>51.0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68.0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-39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5927900.0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323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325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326</v>
      </c>
      <c r="N4" s="10" t="s">
        <v>5</v>
      </c>
      <c r="O4" s="10">
        <v>251100080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286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19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327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 t="s">
        <v>39</v>
      </c>
      <c r="C9" s="4">
        <v>0</v>
      </c>
      <c r="D9" s="4">
        <v>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2370957.0</v>
      </c>
      <c r="P9" s="10"/>
      <c r="Q9" s="10"/>
    </row>
    <row r="10" spans="1:19">
      <c r="A10" s="6">
        <v>17</v>
      </c>
      <c r="B10" s="4" t="s">
        <v>39</v>
      </c>
      <c r="C10" s="4">
        <v>0</v>
      </c>
      <c r="D10" s="4">
        <v>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K10" s="10" t="s">
        <v>27</v>
      </c>
      <c r="L10" s="10"/>
      <c r="M10" s="25" t="s">
        <v>246</v>
      </c>
      <c r="N10" s="25">
        <v>411148.56</v>
      </c>
      <c r="O10" s="25"/>
      <c r="P10" s="10"/>
      <c r="Q10" s="10"/>
    </row>
    <row r="11" spans="1:19">
      <c r="A11" s="6">
        <v>18</v>
      </c>
      <c r="B11" s="4" t="s">
        <v>39</v>
      </c>
      <c r="C11" s="4">
        <v>0</v>
      </c>
      <c r="D11" s="4">
        <v>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K11" s="10" t="s">
        <v>29</v>
      </c>
      <c r="L11" s="10"/>
      <c r="M11" s="25" t="s">
        <v>328</v>
      </c>
      <c r="N11" s="25">
        <v>1801222.27</v>
      </c>
      <c r="O11" s="25"/>
      <c r="P11" s="10"/>
      <c r="Q11" s="10"/>
    </row>
    <row r="12" spans="1:19">
      <c r="A12" s="6">
        <v>19</v>
      </c>
      <c r="B12" s="4" t="s">
        <v>39</v>
      </c>
      <c r="C12" s="4">
        <v>0</v>
      </c>
      <c r="D12" s="4">
        <v>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>
        <v>1</v>
      </c>
      <c r="C13" s="4">
        <v>1</v>
      </c>
      <c r="D13" s="4">
        <v>12</v>
      </c>
      <c r="E13" s="4">
        <v>8.0</v>
      </c>
      <c r="F13" s="4">
        <v>1.0</v>
      </c>
      <c r="G13" s="4">
        <v>3.0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>
        <v>2</v>
      </c>
      <c r="C14" s="4">
        <v>1</v>
      </c>
      <c r="D14" s="4">
        <v>12</v>
      </c>
      <c r="E14" s="4">
        <v>8.0</v>
      </c>
      <c r="F14" s="4">
        <v>1.0</v>
      </c>
      <c r="G14" s="4">
        <v>3.0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2212371.0</v>
      </c>
      <c r="P14" s="10"/>
      <c r="Q14" s="10"/>
    </row>
    <row r="15" spans="1:19">
      <c r="A15" s="6">
        <v>22</v>
      </c>
      <c r="B15" s="4">
        <v>3</v>
      </c>
      <c r="C15" s="4">
        <v>1</v>
      </c>
      <c r="D15" s="4">
        <v>12</v>
      </c>
      <c r="E15" s="4">
        <v>8.0</v>
      </c>
      <c r="F15" s="4">
        <v>1.0</v>
      </c>
      <c r="G15" s="4">
        <v>3.0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>
        <v>4</v>
      </c>
      <c r="C16" s="4">
        <v>1</v>
      </c>
      <c r="D16" s="4">
        <v>14</v>
      </c>
      <c r="E16" s="4">
        <v>8.0</v>
      </c>
      <c r="F16" s="4">
        <v>1.0</v>
      </c>
      <c r="G16" s="4">
        <v>5.0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>
        <v>5</v>
      </c>
      <c r="C17" s="4">
        <v>1</v>
      </c>
      <c r="D17" s="4">
        <v>14</v>
      </c>
      <c r="E17" s="4">
        <v>8.0</v>
      </c>
      <c r="F17" s="4">
        <v>1.0</v>
      </c>
      <c r="G17" s="4">
        <v>5.0</v>
      </c>
      <c r="H17" s="4">
        <v>0.0</v>
      </c>
      <c r="I17" s="4">
        <v>0.0</v>
      </c>
      <c r="K17" s="10" t="s">
        <v>36</v>
      </c>
      <c r="L17" s="10"/>
      <c r="M17" s="27" t="s">
        <v>248</v>
      </c>
      <c r="N17" s="25">
        <v>84000</v>
      </c>
      <c r="O17" s="25"/>
      <c r="P17" s="10"/>
      <c r="Q17" s="10"/>
    </row>
    <row r="18" spans="1:19">
      <c r="A18" s="6">
        <v>25</v>
      </c>
      <c r="B18" s="4">
        <v>6</v>
      </c>
      <c r="C18" s="4" t="s">
        <v>25</v>
      </c>
      <c r="D18" s="4">
        <v>12</v>
      </c>
      <c r="E18" s="4">
        <v>8.0</v>
      </c>
      <c r="F18" s="4">
        <v>1.0</v>
      </c>
      <c r="G18" s="4">
        <v>3.0</v>
      </c>
      <c r="H18" s="4">
        <v>0.0</v>
      </c>
      <c r="I18" s="4">
        <v>0.0</v>
      </c>
      <c r="K18" s="10" t="s">
        <v>38</v>
      </c>
      <c r="L18" s="10"/>
      <c r="M18" s="27" t="s">
        <v>248</v>
      </c>
      <c r="N18" s="25">
        <v>140000</v>
      </c>
      <c r="O18" s="25"/>
      <c r="P18" s="10"/>
      <c r="Q18" s="10"/>
    </row>
    <row r="19" spans="1:19">
      <c r="A19" s="6">
        <v>26</v>
      </c>
      <c r="B19" s="4" t="s">
        <v>39</v>
      </c>
      <c r="C19" s="4">
        <v>0</v>
      </c>
      <c r="D19" s="4">
        <v>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K19" s="10" t="s">
        <v>40</v>
      </c>
      <c r="L19" s="10"/>
      <c r="M19" s="27" t="s">
        <v>133</v>
      </c>
      <c r="N19" s="25">
        <v>101612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 t="s">
        <v>39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 t="s">
        <v>39</v>
      </c>
      <c r="C22" s="4">
        <v>0</v>
      </c>
      <c r="D22" s="4">
        <v>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325612</v>
      </c>
      <c r="P22" s="10"/>
      <c r="Q22" s="10"/>
    </row>
    <row r="23" spans="1:19">
      <c r="A23" s="6">
        <v>30</v>
      </c>
      <c r="B23" s="4">
        <v>1</v>
      </c>
      <c r="C23" s="4">
        <v>1</v>
      </c>
      <c r="D23" s="4">
        <v>12</v>
      </c>
      <c r="E23" s="4">
        <v>8.0</v>
      </c>
      <c r="F23" s="4">
        <v>1.0</v>
      </c>
      <c r="G23" s="4">
        <v>3.0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>
        <v>2</v>
      </c>
      <c r="C24" s="4">
        <v>1</v>
      </c>
      <c r="D24" s="4">
        <v>12</v>
      </c>
      <c r="E24" s="4">
        <v>8.0</v>
      </c>
      <c r="F24" s="4">
        <v>1.0</v>
      </c>
      <c r="G24" s="4">
        <v>3.0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>
        <v>3</v>
      </c>
      <c r="C25" s="4">
        <v>1</v>
      </c>
      <c r="D25" s="4">
        <v>12</v>
      </c>
      <c r="E25" s="4">
        <v>8.0</v>
      </c>
      <c r="F25" s="4">
        <v>1.0</v>
      </c>
      <c r="G25" s="4">
        <v>3.0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>
        <v>4</v>
      </c>
      <c r="C26" s="4">
        <v>1</v>
      </c>
      <c r="D26" s="4">
        <v>12</v>
      </c>
      <c r="E26" s="4">
        <v>8.0</v>
      </c>
      <c r="F26" s="4">
        <v>1.0</v>
      </c>
      <c r="G26" s="4">
        <v>3.0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>
        <v>5</v>
      </c>
      <c r="C27" s="4">
        <v>1</v>
      </c>
      <c r="D27" s="4">
        <v>12</v>
      </c>
      <c r="E27" s="4">
        <v>8.0</v>
      </c>
      <c r="F27" s="4">
        <v>1.0</v>
      </c>
      <c r="G27" s="4">
        <v>3.0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 t="s">
        <v>39</v>
      </c>
      <c r="C28" s="4">
        <v>0</v>
      </c>
      <c r="D28" s="4">
        <v>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 t="s">
        <v>39</v>
      </c>
      <c r="C29" s="4">
        <v>0</v>
      </c>
      <c r="D29" s="4">
        <v>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5113519.22</v>
      </c>
      <c r="P29" s="10"/>
      <c r="Q29" s="10"/>
    </row>
    <row r="30" spans="1:19">
      <c r="A30" s="6">
        <v>7</v>
      </c>
      <c r="B30" s="4" t="s">
        <v>39</v>
      </c>
      <c r="C30" s="4">
        <v>0</v>
      </c>
      <c r="D30" s="4">
        <v>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51</v>
      </c>
      <c r="N31" s="28" t="s">
        <v>52</v>
      </c>
      <c r="O31" s="25">
        <f>ROUNDDOWN(-(0.00),0)</f>
        <v>0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>
        <v>1</v>
      </c>
      <c r="C33" s="4" t="s">
        <v>25</v>
      </c>
      <c r="D33" s="4">
        <v>12</v>
      </c>
      <c r="E33" s="4">
        <v>8.0</v>
      </c>
      <c r="F33" s="4">
        <v>1.0</v>
      </c>
      <c r="G33" s="4">
        <v>3.0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>
        <v>2</v>
      </c>
      <c r="C34" s="4" t="s">
        <v>25</v>
      </c>
      <c r="D34" s="4">
        <v>12</v>
      </c>
      <c r="E34" s="4">
        <v>8.0</v>
      </c>
      <c r="F34" s="4">
        <v>1.0</v>
      </c>
      <c r="G34" s="4">
        <v>3.0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>
        <v>3</v>
      </c>
      <c r="C35" s="4" t="s">
        <v>25</v>
      </c>
      <c r="D35" s="4">
        <v>12</v>
      </c>
      <c r="E35" s="4">
        <v>8.0</v>
      </c>
      <c r="F35" s="4">
        <v>1.0</v>
      </c>
      <c r="G35" s="4">
        <v>3.0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 t="s">
        <v>39</v>
      </c>
      <c r="C37" s="4">
        <v>0</v>
      </c>
      <c r="D37" s="4">
        <v>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4773456.0</v>
      </c>
      <c r="P37" s="10"/>
      <c r="Q37" s="10"/>
    </row>
    <row r="38" spans="1:19">
      <c r="A38" s="6">
        <v>15</v>
      </c>
      <c r="B38" s="4" t="s">
        <v>39</v>
      </c>
      <c r="C38" s="4">
        <v>0</v>
      </c>
      <c r="D38" s="4">
        <v>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14</v>
      </c>
      <c r="D39" s="9">
        <v>172</v>
      </c>
      <c r="E39" s="9">
        <v>112.0</v>
      </c>
      <c r="F39" s="9">
        <v>14.0</v>
      </c>
      <c r="G39" s="9">
        <v>46.0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60.0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44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4773500.0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326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329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330</v>
      </c>
      <c r="N4" s="10" t="s">
        <v>5</v>
      </c>
      <c r="O4" s="10">
        <v>251100032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263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78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331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 t="s">
        <v>39</v>
      </c>
      <c r="C9" s="4">
        <v>0</v>
      </c>
      <c r="D9" s="4">
        <v>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1693541.0</v>
      </c>
      <c r="P9" s="10"/>
      <c r="Q9" s="10"/>
    </row>
    <row r="10" spans="1:19">
      <c r="A10" s="6">
        <v>17</v>
      </c>
      <c r="B10" s="4">
        <v>1</v>
      </c>
      <c r="C10" s="4">
        <v>1</v>
      </c>
      <c r="D10" s="4">
        <v>12</v>
      </c>
      <c r="E10" s="4">
        <v>8.0</v>
      </c>
      <c r="F10" s="4">
        <v>1.0</v>
      </c>
      <c r="G10" s="4">
        <v>3.0</v>
      </c>
      <c r="H10" s="4">
        <v>0.0</v>
      </c>
      <c r="I10" s="4">
        <v>0.0</v>
      </c>
      <c r="K10" s="10" t="s">
        <v>27</v>
      </c>
      <c r="L10" s="10"/>
      <c r="M10" s="25" t="s">
        <v>28</v>
      </c>
      <c r="N10" s="25">
        <v>293677.54</v>
      </c>
      <c r="O10" s="25"/>
      <c r="P10" s="10"/>
      <c r="Q10" s="10"/>
    </row>
    <row r="11" spans="1:19">
      <c r="A11" s="6">
        <v>18</v>
      </c>
      <c r="B11" s="4">
        <v>2</v>
      </c>
      <c r="C11" s="4">
        <v>1</v>
      </c>
      <c r="D11" s="4">
        <v>12</v>
      </c>
      <c r="E11" s="4">
        <v>8.0</v>
      </c>
      <c r="F11" s="4">
        <v>1.0</v>
      </c>
      <c r="G11" s="4">
        <v>3.0</v>
      </c>
      <c r="H11" s="4">
        <v>0.0</v>
      </c>
      <c r="I11" s="4">
        <v>0.0</v>
      </c>
      <c r="K11" s="10" t="s">
        <v>29</v>
      </c>
      <c r="L11" s="10"/>
      <c r="M11" s="25" t="s">
        <v>30</v>
      </c>
      <c r="N11" s="25">
        <v>1174710.17</v>
      </c>
      <c r="O11" s="25"/>
      <c r="P11" s="10"/>
      <c r="Q11" s="10"/>
    </row>
    <row r="12" spans="1:19">
      <c r="A12" s="6">
        <v>19</v>
      </c>
      <c r="B12" s="4" t="s">
        <v>39</v>
      </c>
      <c r="C12" s="4">
        <v>0</v>
      </c>
      <c r="D12" s="4">
        <v>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 t="s">
        <v>39</v>
      </c>
      <c r="C13" s="4">
        <v>0</v>
      </c>
      <c r="D13" s="4">
        <v>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>
        <v>1</v>
      </c>
      <c r="C14" s="4">
        <v>1</v>
      </c>
      <c r="D14" s="4">
        <v>12</v>
      </c>
      <c r="E14" s="4">
        <v>8.0</v>
      </c>
      <c r="F14" s="4">
        <v>1.0</v>
      </c>
      <c r="G14" s="4">
        <v>3.0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1468388.0</v>
      </c>
      <c r="P14" s="10"/>
      <c r="Q14" s="10"/>
    </row>
    <row r="15" spans="1:19">
      <c r="A15" s="6">
        <v>22</v>
      </c>
      <c r="B15" s="4" t="s">
        <v>39</v>
      </c>
      <c r="C15" s="4">
        <v>0</v>
      </c>
      <c r="D15" s="4">
        <v>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 t="s">
        <v>39</v>
      </c>
      <c r="C16" s="4">
        <v>0</v>
      </c>
      <c r="D16" s="4">
        <v>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>
        <v>1</v>
      </c>
      <c r="C17" s="4">
        <v>1</v>
      </c>
      <c r="D17" s="4">
        <v>12</v>
      </c>
      <c r="E17" s="4">
        <v>8.0</v>
      </c>
      <c r="F17" s="4">
        <v>1.0</v>
      </c>
      <c r="G17" s="4">
        <v>3.0</v>
      </c>
      <c r="H17" s="4">
        <v>0.0</v>
      </c>
      <c r="I17" s="4">
        <v>0.0</v>
      </c>
      <c r="K17" s="10" t="s">
        <v>36</v>
      </c>
      <c r="L17" s="10"/>
      <c r="M17" s="27" t="s">
        <v>37</v>
      </c>
      <c r="N17" s="25">
        <v>60000</v>
      </c>
      <c r="O17" s="25"/>
      <c r="P17" s="10"/>
      <c r="Q17" s="10"/>
    </row>
    <row r="18" spans="1:19">
      <c r="A18" s="6">
        <v>25</v>
      </c>
      <c r="B18" s="4">
        <v>2</v>
      </c>
      <c r="C18" s="4">
        <v>1</v>
      </c>
      <c r="D18" s="4">
        <v>12</v>
      </c>
      <c r="E18" s="4">
        <v>8.0</v>
      </c>
      <c r="F18" s="4">
        <v>1.0</v>
      </c>
      <c r="G18" s="4">
        <v>3.0</v>
      </c>
      <c r="H18" s="4">
        <v>0.0</v>
      </c>
      <c r="I18" s="4">
        <v>0.0</v>
      </c>
      <c r="K18" s="10" t="s">
        <v>38</v>
      </c>
      <c r="L18" s="10"/>
      <c r="M18" s="27" t="s">
        <v>37</v>
      </c>
      <c r="N18" s="25">
        <v>100000</v>
      </c>
      <c r="O18" s="25"/>
      <c r="P18" s="10"/>
      <c r="Q18" s="10"/>
    </row>
    <row r="19" spans="1:19">
      <c r="A19" s="6">
        <v>26</v>
      </c>
      <c r="B19" s="4" t="s">
        <v>39</v>
      </c>
      <c r="C19" s="4">
        <v>0</v>
      </c>
      <c r="D19" s="4">
        <v>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K19" s="10" t="s">
        <v>40</v>
      </c>
      <c r="L19" s="10"/>
      <c r="M19" s="27" t="s">
        <v>80</v>
      </c>
      <c r="N19" s="25">
        <v>0</v>
      </c>
      <c r="O19" s="25"/>
      <c r="P19" s="10"/>
      <c r="Q19" s="10"/>
    </row>
    <row r="20" spans="1:19">
      <c r="A20" s="6">
        <v>27</v>
      </c>
      <c r="B20" s="4">
        <v>1</v>
      </c>
      <c r="C20" s="4">
        <v>1</v>
      </c>
      <c r="D20" s="4">
        <v>12</v>
      </c>
      <c r="E20" s="4">
        <v>8.0</v>
      </c>
      <c r="F20" s="4">
        <v>1.0</v>
      </c>
      <c r="G20" s="4">
        <v>3.0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>
        <v>2</v>
      </c>
      <c r="C21" s="4">
        <v>1</v>
      </c>
      <c r="D21" s="4">
        <v>12</v>
      </c>
      <c r="E21" s="4">
        <v>8.0</v>
      </c>
      <c r="F21" s="4">
        <v>1.0</v>
      </c>
      <c r="G21" s="4">
        <v>3.0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 t="s">
        <v>39</v>
      </c>
      <c r="C22" s="4">
        <v>0</v>
      </c>
      <c r="D22" s="4">
        <v>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160000</v>
      </c>
      <c r="P22" s="10"/>
      <c r="Q22" s="10"/>
    </row>
    <row r="23" spans="1:19">
      <c r="A23" s="6">
        <v>30</v>
      </c>
      <c r="B23" s="4" t="s">
        <v>39</v>
      </c>
      <c r="C23" s="4">
        <v>0</v>
      </c>
      <c r="D23" s="4">
        <v>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>
        <v>1</v>
      </c>
      <c r="C24" s="4">
        <v>1</v>
      </c>
      <c r="D24" s="4">
        <v>12</v>
      </c>
      <c r="E24" s="4">
        <v>8.0</v>
      </c>
      <c r="F24" s="4">
        <v>1.0</v>
      </c>
      <c r="G24" s="4">
        <v>3.0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>
        <v>2</v>
      </c>
      <c r="C25" s="4">
        <v>1</v>
      </c>
      <c r="D25" s="4">
        <v>12</v>
      </c>
      <c r="E25" s="4">
        <v>8.0</v>
      </c>
      <c r="F25" s="4">
        <v>1.0</v>
      </c>
      <c r="G25" s="4">
        <v>3.0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 t="s">
        <v>39</v>
      </c>
      <c r="C26" s="4">
        <v>0</v>
      </c>
      <c r="D26" s="4">
        <v>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 t="s">
        <v>39</v>
      </c>
      <c r="C27" s="4">
        <v>0</v>
      </c>
      <c r="D27" s="4">
        <v>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>
        <v>1</v>
      </c>
      <c r="C28" s="4">
        <v>1</v>
      </c>
      <c r="D28" s="4">
        <v>12</v>
      </c>
      <c r="E28" s="4">
        <v>8.0</v>
      </c>
      <c r="F28" s="4">
        <v>1.0</v>
      </c>
      <c r="G28" s="4">
        <v>3.0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 t="s">
        <v>39</v>
      </c>
      <c r="C29" s="4">
        <v>0</v>
      </c>
      <c r="D29" s="4">
        <v>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3526507.9</v>
      </c>
      <c r="P29" s="10"/>
      <c r="Q29" s="10"/>
    </row>
    <row r="30" spans="1:19">
      <c r="A30" s="6">
        <v>7</v>
      </c>
      <c r="B30" s="4" t="s">
        <v>39</v>
      </c>
      <c r="C30" s="4">
        <v>0</v>
      </c>
      <c r="D30" s="4">
        <v>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51</v>
      </c>
      <c r="N31" s="28" t="s">
        <v>52</v>
      </c>
      <c r="O31" s="25">
        <f>ROUNDDOWN(-(0.00),0)</f>
        <v>0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39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 t="s">
        <v>39</v>
      </c>
      <c r="C37" s="4">
        <v>0</v>
      </c>
      <c r="D37" s="4">
        <v>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3186445.0</v>
      </c>
      <c r="P37" s="10"/>
      <c r="Q37" s="10"/>
    </row>
    <row r="38" spans="1:19">
      <c r="A38" s="6">
        <v>15</v>
      </c>
      <c r="B38" s="4" t="s">
        <v>39</v>
      </c>
      <c r="C38" s="4">
        <v>0</v>
      </c>
      <c r="D38" s="4">
        <v>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10</v>
      </c>
      <c r="D39" s="9">
        <v>120</v>
      </c>
      <c r="E39" s="9">
        <v>80.0</v>
      </c>
      <c r="F39" s="9">
        <v>10.0</v>
      </c>
      <c r="G39" s="9">
        <v>30.0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40.0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-45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3186400.0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330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332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333</v>
      </c>
      <c r="N4" s="10" t="s">
        <v>5</v>
      </c>
      <c r="O4" s="10">
        <v>251100091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110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19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334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>
        <v>1</v>
      </c>
      <c r="C9" s="4" t="s">
        <v>25</v>
      </c>
      <c r="D9" s="4">
        <v>12</v>
      </c>
      <c r="E9" s="4">
        <v>8.0</v>
      </c>
      <c r="F9" s="4">
        <v>1.0</v>
      </c>
      <c r="G9" s="4">
        <v>3.0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2540311.0</v>
      </c>
      <c r="P9" s="10"/>
      <c r="Q9" s="10"/>
    </row>
    <row r="10" spans="1:19">
      <c r="A10" s="6">
        <v>17</v>
      </c>
      <c r="B10" s="4">
        <v>2</v>
      </c>
      <c r="C10" s="4" t="s">
        <v>25</v>
      </c>
      <c r="D10" s="4">
        <v>12</v>
      </c>
      <c r="E10" s="4">
        <v>8.0</v>
      </c>
      <c r="F10" s="4">
        <v>1.0</v>
      </c>
      <c r="G10" s="4">
        <v>3.0</v>
      </c>
      <c r="H10" s="4">
        <v>0.0</v>
      </c>
      <c r="I10" s="4">
        <v>0.0</v>
      </c>
      <c r="K10" s="10" t="s">
        <v>27</v>
      </c>
      <c r="L10" s="10"/>
      <c r="M10" s="25" t="s">
        <v>268</v>
      </c>
      <c r="N10" s="25">
        <v>440516.32</v>
      </c>
      <c r="O10" s="25"/>
      <c r="P10" s="10"/>
      <c r="Q10" s="10"/>
    </row>
    <row r="11" spans="1:19">
      <c r="A11" s="6">
        <v>18</v>
      </c>
      <c r="B11" s="4">
        <v>3</v>
      </c>
      <c r="C11" s="4" t="s">
        <v>25</v>
      </c>
      <c r="D11" s="4">
        <v>12</v>
      </c>
      <c r="E11" s="4">
        <v>8.0</v>
      </c>
      <c r="F11" s="4">
        <v>1.0</v>
      </c>
      <c r="G11" s="4">
        <v>3.0</v>
      </c>
      <c r="H11" s="4">
        <v>0.0</v>
      </c>
      <c r="I11" s="4">
        <v>0.0</v>
      </c>
      <c r="K11" s="10" t="s">
        <v>29</v>
      </c>
      <c r="L11" s="10"/>
      <c r="M11" s="25" t="s">
        <v>269</v>
      </c>
      <c r="N11" s="25">
        <v>1762065.26</v>
      </c>
      <c r="O11" s="25"/>
      <c r="P11" s="10"/>
      <c r="Q11" s="10"/>
    </row>
    <row r="12" spans="1:19">
      <c r="A12" s="6">
        <v>19</v>
      </c>
      <c r="B12" s="4">
        <v>4</v>
      </c>
      <c r="C12" s="4" t="s">
        <v>25</v>
      </c>
      <c r="D12" s="4">
        <v>12</v>
      </c>
      <c r="E12" s="4">
        <v>8.0</v>
      </c>
      <c r="F12" s="4">
        <v>1.0</v>
      </c>
      <c r="G12" s="4">
        <v>3.0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 t="s">
        <v>39</v>
      </c>
      <c r="C13" s="4">
        <v>0</v>
      </c>
      <c r="D13" s="4">
        <v>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 t="s">
        <v>39</v>
      </c>
      <c r="C14" s="4">
        <v>0</v>
      </c>
      <c r="D14" s="4">
        <v>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2202582.0</v>
      </c>
      <c r="P14" s="10"/>
      <c r="Q14" s="10"/>
    </row>
    <row r="15" spans="1:19">
      <c r="A15" s="6">
        <v>22</v>
      </c>
      <c r="B15" s="4" t="s">
        <v>39</v>
      </c>
      <c r="C15" s="4">
        <v>0</v>
      </c>
      <c r="D15" s="4">
        <v>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 t="s">
        <v>39</v>
      </c>
      <c r="C16" s="4">
        <v>0</v>
      </c>
      <c r="D16" s="4">
        <v>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 t="s">
        <v>39</v>
      </c>
      <c r="C17" s="4">
        <v>0</v>
      </c>
      <c r="D17" s="4">
        <v>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K17" s="10" t="s">
        <v>36</v>
      </c>
      <c r="L17" s="10"/>
      <c r="M17" s="27" t="s">
        <v>270</v>
      </c>
      <c r="N17" s="25">
        <v>90000</v>
      </c>
      <c r="O17" s="25"/>
      <c r="P17" s="10"/>
      <c r="Q17" s="10"/>
    </row>
    <row r="18" spans="1:19">
      <c r="A18" s="6">
        <v>25</v>
      </c>
      <c r="B18" s="4">
        <v>1</v>
      </c>
      <c r="C18" s="4">
        <v>1</v>
      </c>
      <c r="D18" s="4">
        <v>12</v>
      </c>
      <c r="E18" s="4">
        <v>8.0</v>
      </c>
      <c r="F18" s="4">
        <v>1.0</v>
      </c>
      <c r="G18" s="4">
        <v>3.0</v>
      </c>
      <c r="H18" s="4">
        <v>0.0</v>
      </c>
      <c r="I18" s="4">
        <v>0.0</v>
      </c>
      <c r="K18" s="10" t="s">
        <v>38</v>
      </c>
      <c r="L18" s="10"/>
      <c r="M18" s="27" t="s">
        <v>270</v>
      </c>
      <c r="N18" s="25">
        <v>150000</v>
      </c>
      <c r="O18" s="25"/>
      <c r="P18" s="10"/>
      <c r="Q18" s="10"/>
    </row>
    <row r="19" spans="1:19">
      <c r="A19" s="6">
        <v>26</v>
      </c>
      <c r="B19" s="4">
        <v>2</v>
      </c>
      <c r="C19" s="4">
        <v>1</v>
      </c>
      <c r="D19" s="4">
        <v>12</v>
      </c>
      <c r="E19" s="4">
        <v>8.0</v>
      </c>
      <c r="F19" s="4">
        <v>1.0</v>
      </c>
      <c r="G19" s="4">
        <v>3.0</v>
      </c>
      <c r="H19" s="4">
        <v>0.0</v>
      </c>
      <c r="I19" s="4">
        <v>0.0</v>
      </c>
      <c r="K19" s="10" t="s">
        <v>40</v>
      </c>
      <c r="L19" s="10"/>
      <c r="M19" s="27" t="s">
        <v>185</v>
      </c>
      <c r="N19" s="25">
        <v>127016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 t="s">
        <v>39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 t="s">
        <v>39</v>
      </c>
      <c r="C22" s="4">
        <v>0</v>
      </c>
      <c r="D22" s="4">
        <v>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367016</v>
      </c>
      <c r="P22" s="10"/>
      <c r="Q22" s="10"/>
    </row>
    <row r="23" spans="1:19">
      <c r="A23" s="6">
        <v>30</v>
      </c>
      <c r="B23" s="4" t="s">
        <v>39</v>
      </c>
      <c r="C23" s="4">
        <v>0</v>
      </c>
      <c r="D23" s="4">
        <v>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>
        <v>1</v>
      </c>
      <c r="C24" s="4">
        <v>1</v>
      </c>
      <c r="D24" s="4">
        <v>12</v>
      </c>
      <c r="E24" s="4">
        <v>8.0</v>
      </c>
      <c r="F24" s="4">
        <v>1.0</v>
      </c>
      <c r="G24" s="4">
        <v>3.0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>
        <v>2</v>
      </c>
      <c r="C25" s="4">
        <v>1</v>
      </c>
      <c r="D25" s="4">
        <v>12</v>
      </c>
      <c r="E25" s="4">
        <v>8.0</v>
      </c>
      <c r="F25" s="4">
        <v>1.0</v>
      </c>
      <c r="G25" s="4">
        <v>3.0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>
        <v>3</v>
      </c>
      <c r="C26" s="4">
        <v>1</v>
      </c>
      <c r="D26" s="4">
        <v>12</v>
      </c>
      <c r="E26" s="4">
        <v>8.0</v>
      </c>
      <c r="F26" s="4">
        <v>1.0</v>
      </c>
      <c r="G26" s="4">
        <v>3.0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>
        <v>4</v>
      </c>
      <c r="C27" s="4">
        <v>1</v>
      </c>
      <c r="D27" s="4">
        <v>12</v>
      </c>
      <c r="E27" s="4">
        <v>8.0</v>
      </c>
      <c r="F27" s="4">
        <v>1.0</v>
      </c>
      <c r="G27" s="4">
        <v>3.0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>
        <v>5</v>
      </c>
      <c r="C28" s="4">
        <v>1</v>
      </c>
      <c r="D28" s="4">
        <v>12</v>
      </c>
      <c r="E28" s="4">
        <v>8.0</v>
      </c>
      <c r="F28" s="4">
        <v>1.0</v>
      </c>
      <c r="G28" s="4">
        <v>3.0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>
        <v>6</v>
      </c>
      <c r="C29" s="4">
        <v>1</v>
      </c>
      <c r="D29" s="4">
        <v>12</v>
      </c>
      <c r="E29" s="4">
        <v>8.0</v>
      </c>
      <c r="F29" s="4">
        <v>1.0</v>
      </c>
      <c r="G29" s="4">
        <v>3.0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5314488.02</v>
      </c>
      <c r="P29" s="10"/>
      <c r="Q29" s="10"/>
    </row>
    <row r="30" spans="1:19">
      <c r="A30" s="6">
        <v>7</v>
      </c>
      <c r="B30" s="4">
        <v>7</v>
      </c>
      <c r="C30" s="4">
        <v>1</v>
      </c>
      <c r="D30" s="4">
        <v>12</v>
      </c>
      <c r="E30" s="4">
        <v>8.0</v>
      </c>
      <c r="F30" s="4">
        <v>1.0</v>
      </c>
      <c r="G30" s="4">
        <v>3.0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51</v>
      </c>
      <c r="N31" s="28" t="s">
        <v>52</v>
      </c>
      <c r="O31" s="25">
        <f>ROUNDDOWN(-(0.00),0)</f>
        <v>0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39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>
        <v>1</v>
      </c>
      <c r="C37" s="4">
        <v>1</v>
      </c>
      <c r="D37" s="4">
        <v>12</v>
      </c>
      <c r="E37" s="4">
        <v>8.0</v>
      </c>
      <c r="F37" s="4">
        <v>1.0</v>
      </c>
      <c r="G37" s="4">
        <v>3.0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4974425.0</v>
      </c>
      <c r="P37" s="10"/>
      <c r="Q37" s="10"/>
    </row>
    <row r="38" spans="1:19">
      <c r="A38" s="6">
        <v>15</v>
      </c>
      <c r="B38" s="4">
        <v>2</v>
      </c>
      <c r="C38" s="4" t="s">
        <v>25</v>
      </c>
      <c r="D38" s="4">
        <v>12</v>
      </c>
      <c r="E38" s="4">
        <v>8.0</v>
      </c>
      <c r="F38" s="4">
        <v>1.0</v>
      </c>
      <c r="G38" s="4">
        <v>3.0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15</v>
      </c>
      <c r="D39" s="9">
        <v>180</v>
      </c>
      <c r="E39" s="9">
        <v>120.0</v>
      </c>
      <c r="F39" s="9">
        <v>15.0</v>
      </c>
      <c r="G39" s="9">
        <v>45.0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60.0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-25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4974400.0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333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335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336</v>
      </c>
      <c r="N4" s="10" t="s">
        <v>5</v>
      </c>
      <c r="O4" s="10">
        <v>251100050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68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128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337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 t="s">
        <v>39</v>
      </c>
      <c r="C9" s="4">
        <v>0</v>
      </c>
      <c r="D9" s="4">
        <v>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2201603.0</v>
      </c>
      <c r="P9" s="10"/>
      <c r="Q9" s="10"/>
    </row>
    <row r="10" spans="1:19">
      <c r="A10" s="6">
        <v>17</v>
      </c>
      <c r="B10" s="4" t="s">
        <v>39</v>
      </c>
      <c r="C10" s="4">
        <v>0</v>
      </c>
      <c r="D10" s="4">
        <v>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K10" s="10" t="s">
        <v>27</v>
      </c>
      <c r="L10" s="10"/>
      <c r="M10" s="25" t="s">
        <v>116</v>
      </c>
      <c r="N10" s="25">
        <v>381780.81</v>
      </c>
      <c r="O10" s="25"/>
      <c r="P10" s="10"/>
      <c r="Q10" s="10"/>
    </row>
    <row r="11" spans="1:19">
      <c r="A11" s="6">
        <v>18</v>
      </c>
      <c r="B11" s="4" t="s">
        <v>39</v>
      </c>
      <c r="C11" s="4">
        <v>0</v>
      </c>
      <c r="D11" s="4">
        <v>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K11" s="10" t="s">
        <v>29</v>
      </c>
      <c r="L11" s="10"/>
      <c r="M11" s="25" t="s">
        <v>117</v>
      </c>
      <c r="N11" s="25">
        <v>1527123.23</v>
      </c>
      <c r="O11" s="25"/>
      <c r="P11" s="10"/>
      <c r="Q11" s="10"/>
    </row>
    <row r="12" spans="1:19">
      <c r="A12" s="6">
        <v>19</v>
      </c>
      <c r="B12" s="4" t="s">
        <v>39</v>
      </c>
      <c r="C12" s="4">
        <v>0</v>
      </c>
      <c r="D12" s="4">
        <v>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 t="s">
        <v>39</v>
      </c>
      <c r="C13" s="4">
        <v>0</v>
      </c>
      <c r="D13" s="4">
        <v>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>
        <v>1</v>
      </c>
      <c r="C14" s="4" t="s">
        <v>25</v>
      </c>
      <c r="D14" s="4">
        <v>12</v>
      </c>
      <c r="E14" s="4">
        <v>8.0</v>
      </c>
      <c r="F14" s="4">
        <v>1.0</v>
      </c>
      <c r="G14" s="4">
        <v>3.0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1908904.0</v>
      </c>
      <c r="P14" s="10"/>
      <c r="Q14" s="10"/>
    </row>
    <row r="15" spans="1:19">
      <c r="A15" s="6">
        <v>22</v>
      </c>
      <c r="B15" s="4">
        <v>2</v>
      </c>
      <c r="C15" s="4" t="s">
        <v>25</v>
      </c>
      <c r="D15" s="4">
        <v>12</v>
      </c>
      <c r="E15" s="4">
        <v>8.0</v>
      </c>
      <c r="F15" s="4">
        <v>1.0</v>
      </c>
      <c r="G15" s="4">
        <v>3.0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>
        <v>3</v>
      </c>
      <c r="C16" s="4" t="s">
        <v>25</v>
      </c>
      <c r="D16" s="4">
        <v>12</v>
      </c>
      <c r="E16" s="4">
        <v>8.0</v>
      </c>
      <c r="F16" s="4">
        <v>1.0</v>
      </c>
      <c r="G16" s="4">
        <v>3.0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>
        <v>4</v>
      </c>
      <c r="C17" s="4" t="s">
        <v>25</v>
      </c>
      <c r="D17" s="4">
        <v>12</v>
      </c>
      <c r="E17" s="4">
        <v>8.0</v>
      </c>
      <c r="F17" s="4">
        <v>1.0</v>
      </c>
      <c r="G17" s="4">
        <v>3.0</v>
      </c>
      <c r="H17" s="4">
        <v>0.0</v>
      </c>
      <c r="I17" s="4">
        <v>0.0</v>
      </c>
      <c r="K17" s="10" t="s">
        <v>36</v>
      </c>
      <c r="L17" s="10"/>
      <c r="M17" s="27" t="s">
        <v>118</v>
      </c>
      <c r="N17" s="25">
        <v>78000</v>
      </c>
      <c r="O17" s="25"/>
      <c r="P17" s="10"/>
      <c r="Q17" s="10"/>
    </row>
    <row r="18" spans="1:19">
      <c r="A18" s="6">
        <v>25</v>
      </c>
      <c r="B18" s="4">
        <v>5</v>
      </c>
      <c r="C18" s="4" t="s">
        <v>25</v>
      </c>
      <c r="D18" s="4">
        <v>12</v>
      </c>
      <c r="E18" s="4">
        <v>8.0</v>
      </c>
      <c r="F18" s="4">
        <v>1.0</v>
      </c>
      <c r="G18" s="4">
        <v>3.0</v>
      </c>
      <c r="H18" s="4">
        <v>0.0</v>
      </c>
      <c r="I18" s="4">
        <v>0.0</v>
      </c>
      <c r="K18" s="10" t="s">
        <v>38</v>
      </c>
      <c r="L18" s="10"/>
      <c r="M18" s="27" t="s">
        <v>118</v>
      </c>
      <c r="N18" s="25">
        <v>130000</v>
      </c>
      <c r="O18" s="25"/>
      <c r="P18" s="10"/>
      <c r="Q18" s="10"/>
    </row>
    <row r="19" spans="1:19">
      <c r="A19" s="6">
        <v>26</v>
      </c>
      <c r="B19" s="4" t="s">
        <v>39</v>
      </c>
      <c r="C19" s="4">
        <v>0</v>
      </c>
      <c r="D19" s="4">
        <v>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K19" s="10" t="s">
        <v>40</v>
      </c>
      <c r="L19" s="10"/>
      <c r="M19" s="27" t="s">
        <v>118</v>
      </c>
      <c r="N19" s="25">
        <v>330240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 t="s">
        <v>39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 t="s">
        <v>39</v>
      </c>
      <c r="C22" s="4">
        <v>0</v>
      </c>
      <c r="D22" s="4">
        <v>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538240</v>
      </c>
      <c r="P22" s="10"/>
      <c r="Q22" s="10"/>
    </row>
    <row r="23" spans="1:19">
      <c r="A23" s="6">
        <v>30</v>
      </c>
      <c r="B23" s="4" t="s">
        <v>39</v>
      </c>
      <c r="C23" s="4">
        <v>0</v>
      </c>
      <c r="D23" s="4">
        <v>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>
        <v>1</v>
      </c>
      <c r="C24" s="4" t="s">
        <v>25</v>
      </c>
      <c r="D24" s="4">
        <v>12</v>
      </c>
      <c r="E24" s="4">
        <v>8.0</v>
      </c>
      <c r="F24" s="4">
        <v>1.0</v>
      </c>
      <c r="G24" s="4">
        <v>3.0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>
        <v>2</v>
      </c>
      <c r="C25" s="4" t="s">
        <v>25</v>
      </c>
      <c r="D25" s="4">
        <v>12</v>
      </c>
      <c r="E25" s="4">
        <v>8.0</v>
      </c>
      <c r="F25" s="4">
        <v>1.0</v>
      </c>
      <c r="G25" s="4">
        <v>3.0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>
        <v>3</v>
      </c>
      <c r="C26" s="4" t="s">
        <v>25</v>
      </c>
      <c r="D26" s="4">
        <v>12</v>
      </c>
      <c r="E26" s="4">
        <v>8.0</v>
      </c>
      <c r="F26" s="4">
        <v>1.0</v>
      </c>
      <c r="G26" s="4">
        <v>3.0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>
        <v>4</v>
      </c>
      <c r="C27" s="4" t="s">
        <v>25</v>
      </c>
      <c r="D27" s="4">
        <v>12</v>
      </c>
      <c r="E27" s="4">
        <v>8.0</v>
      </c>
      <c r="F27" s="4">
        <v>1.0</v>
      </c>
      <c r="G27" s="4">
        <v>3.0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>
        <v>5</v>
      </c>
      <c r="C28" s="4" t="s">
        <v>25</v>
      </c>
      <c r="D28" s="4">
        <v>12</v>
      </c>
      <c r="E28" s="4">
        <v>8.0</v>
      </c>
      <c r="F28" s="4">
        <v>1.0</v>
      </c>
      <c r="G28" s="4">
        <v>3.0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>
        <v>6</v>
      </c>
      <c r="C29" s="4" t="s">
        <v>25</v>
      </c>
      <c r="D29" s="4">
        <v>12</v>
      </c>
      <c r="E29" s="4">
        <v>8.0</v>
      </c>
      <c r="F29" s="4">
        <v>1.0</v>
      </c>
      <c r="G29" s="4">
        <v>3.0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4853326.38</v>
      </c>
      <c r="P29" s="10"/>
      <c r="Q29" s="10"/>
    </row>
    <row r="30" spans="1:19">
      <c r="A30" s="6">
        <v>7</v>
      </c>
      <c r="B30" s="4">
        <v>7</v>
      </c>
      <c r="C30" s="4" t="s">
        <v>25</v>
      </c>
      <c r="D30" s="4">
        <v>12</v>
      </c>
      <c r="E30" s="4">
        <v>8.0</v>
      </c>
      <c r="F30" s="4">
        <v>1.0</v>
      </c>
      <c r="G30" s="4">
        <v>3.0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>
        <v>8</v>
      </c>
      <c r="C31" s="4" t="s">
        <v>25</v>
      </c>
      <c r="D31" s="4">
        <v>12</v>
      </c>
      <c r="E31" s="4">
        <v>8.0</v>
      </c>
      <c r="F31" s="4">
        <v>1.0</v>
      </c>
      <c r="G31" s="4">
        <v>3.0</v>
      </c>
      <c r="H31" s="4">
        <v>0.0</v>
      </c>
      <c r="I31" s="4">
        <v>0.0</v>
      </c>
      <c r="K31" s="10" t="s">
        <v>50</v>
      </c>
      <c r="L31" s="10"/>
      <c r="M31" s="28" t="s">
        <v>134</v>
      </c>
      <c r="N31" s="28" t="s">
        <v>52</v>
      </c>
      <c r="O31" s="25">
        <f>ROUNDDOWN(-(0.00),0)</f>
        <v>0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39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 t="s">
        <v>39</v>
      </c>
      <c r="C37" s="4">
        <v>0</v>
      </c>
      <c r="D37" s="4">
        <v>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4513263.0</v>
      </c>
      <c r="P37" s="10"/>
      <c r="Q37" s="10"/>
    </row>
    <row r="38" spans="1:19">
      <c r="A38" s="6">
        <v>15</v>
      </c>
      <c r="B38" s="4" t="s">
        <v>39</v>
      </c>
      <c r="C38" s="4">
        <v>0</v>
      </c>
      <c r="D38" s="4">
        <v>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13</v>
      </c>
      <c r="D39" s="9">
        <v>156</v>
      </c>
      <c r="E39" s="9">
        <v>104.0</v>
      </c>
      <c r="F39" s="9">
        <v>13.0</v>
      </c>
      <c r="G39" s="9">
        <v>39.0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52.0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37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4513300.0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336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338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339</v>
      </c>
      <c r="N4" s="10" t="s">
        <v>5</v>
      </c>
      <c r="O4" s="10">
        <v>251100072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90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78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340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>
        <v>1</v>
      </c>
      <c r="C9" s="4">
        <v>1</v>
      </c>
      <c r="D9" s="4">
        <v>12</v>
      </c>
      <c r="E9" s="4">
        <v>8.0</v>
      </c>
      <c r="F9" s="4">
        <v>1.0</v>
      </c>
      <c r="G9" s="4">
        <v>3.0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2032249.0</v>
      </c>
      <c r="P9" s="10"/>
      <c r="Q9" s="10"/>
    </row>
    <row r="10" spans="1:19">
      <c r="A10" s="6">
        <v>17</v>
      </c>
      <c r="B10" s="4">
        <v>2</v>
      </c>
      <c r="C10" s="4">
        <v>1</v>
      </c>
      <c r="D10" s="4">
        <v>12</v>
      </c>
      <c r="E10" s="4">
        <v>8.0</v>
      </c>
      <c r="F10" s="4">
        <v>1.0</v>
      </c>
      <c r="G10" s="4">
        <v>3.0</v>
      </c>
      <c r="H10" s="4">
        <v>0.0</v>
      </c>
      <c r="I10" s="4">
        <v>0.0</v>
      </c>
      <c r="K10" s="10" t="s">
        <v>27</v>
      </c>
      <c r="L10" s="10"/>
      <c r="M10" s="25" t="s">
        <v>71</v>
      </c>
      <c r="N10" s="25">
        <v>352413.05</v>
      </c>
      <c r="O10" s="25"/>
      <c r="P10" s="10"/>
      <c r="Q10" s="10"/>
    </row>
    <row r="11" spans="1:19">
      <c r="A11" s="6">
        <v>18</v>
      </c>
      <c r="B11" s="4" t="s">
        <v>39</v>
      </c>
      <c r="C11" s="4">
        <v>0</v>
      </c>
      <c r="D11" s="4">
        <v>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K11" s="10" t="s">
        <v>29</v>
      </c>
      <c r="L11" s="10"/>
      <c r="M11" s="25" t="s">
        <v>72</v>
      </c>
      <c r="N11" s="25">
        <v>1409652.21</v>
      </c>
      <c r="O11" s="25"/>
      <c r="P11" s="10"/>
      <c r="Q11" s="10"/>
    </row>
    <row r="12" spans="1:19">
      <c r="A12" s="6">
        <v>19</v>
      </c>
      <c r="B12" s="4" t="s">
        <v>39</v>
      </c>
      <c r="C12" s="4">
        <v>0</v>
      </c>
      <c r="D12" s="4">
        <v>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 t="s">
        <v>39</v>
      </c>
      <c r="C13" s="4">
        <v>0</v>
      </c>
      <c r="D13" s="4">
        <v>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 t="s">
        <v>39</v>
      </c>
      <c r="C14" s="4">
        <v>0</v>
      </c>
      <c r="D14" s="4">
        <v>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1762065.0</v>
      </c>
      <c r="P14" s="10"/>
      <c r="Q14" s="10"/>
    </row>
    <row r="15" spans="1:19">
      <c r="A15" s="6">
        <v>22</v>
      </c>
      <c r="B15" s="4" t="s">
        <v>39</v>
      </c>
      <c r="C15" s="4">
        <v>0</v>
      </c>
      <c r="D15" s="4">
        <v>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>
        <v>1</v>
      </c>
      <c r="C16" s="4" t="s">
        <v>25</v>
      </c>
      <c r="D16" s="4">
        <v>12</v>
      </c>
      <c r="E16" s="4">
        <v>8.0</v>
      </c>
      <c r="F16" s="4">
        <v>1.0</v>
      </c>
      <c r="G16" s="4">
        <v>3.0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>
        <v>2</v>
      </c>
      <c r="C17" s="4" t="s">
        <v>25</v>
      </c>
      <c r="D17" s="4">
        <v>12</v>
      </c>
      <c r="E17" s="4">
        <v>8.0</v>
      </c>
      <c r="F17" s="4">
        <v>1.0</v>
      </c>
      <c r="G17" s="4">
        <v>3.0</v>
      </c>
      <c r="H17" s="4">
        <v>0.0</v>
      </c>
      <c r="I17" s="4">
        <v>0.0</v>
      </c>
      <c r="K17" s="10" t="s">
        <v>36</v>
      </c>
      <c r="L17" s="10"/>
      <c r="M17" s="27" t="s">
        <v>73</v>
      </c>
      <c r="N17" s="25">
        <v>72000</v>
      </c>
      <c r="O17" s="25"/>
      <c r="P17" s="10"/>
      <c r="Q17" s="10"/>
    </row>
    <row r="18" spans="1:19">
      <c r="A18" s="6">
        <v>25</v>
      </c>
      <c r="B18" s="4">
        <v>3</v>
      </c>
      <c r="C18" s="4" t="s">
        <v>25</v>
      </c>
      <c r="D18" s="4">
        <v>12</v>
      </c>
      <c r="E18" s="4">
        <v>8.0</v>
      </c>
      <c r="F18" s="4">
        <v>1.0</v>
      </c>
      <c r="G18" s="4">
        <v>3.0</v>
      </c>
      <c r="H18" s="4">
        <v>0.0</v>
      </c>
      <c r="I18" s="4">
        <v>0.0</v>
      </c>
      <c r="K18" s="10" t="s">
        <v>38</v>
      </c>
      <c r="L18" s="10"/>
      <c r="M18" s="27" t="s">
        <v>73</v>
      </c>
      <c r="N18" s="25">
        <v>120000</v>
      </c>
      <c r="O18" s="25"/>
      <c r="P18" s="10"/>
      <c r="Q18" s="10"/>
    </row>
    <row r="19" spans="1:19">
      <c r="A19" s="6">
        <v>26</v>
      </c>
      <c r="B19" s="4" t="s">
        <v>39</v>
      </c>
      <c r="C19" s="4">
        <v>0</v>
      </c>
      <c r="D19" s="4">
        <v>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K19" s="10" t="s">
        <v>40</v>
      </c>
      <c r="L19" s="10"/>
      <c r="M19" s="27" t="s">
        <v>37</v>
      </c>
      <c r="N19" s="25">
        <v>254031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 t="s">
        <v>39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 t="s">
        <v>39</v>
      </c>
      <c r="C22" s="4">
        <v>0</v>
      </c>
      <c r="D22" s="4">
        <v>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446031</v>
      </c>
      <c r="P22" s="10"/>
      <c r="Q22" s="10"/>
    </row>
    <row r="23" spans="1:19">
      <c r="A23" s="6">
        <v>30</v>
      </c>
      <c r="B23" s="4">
        <v>1</v>
      </c>
      <c r="C23" s="4" t="s">
        <v>25</v>
      </c>
      <c r="D23" s="4">
        <v>12</v>
      </c>
      <c r="E23" s="4">
        <v>8.0</v>
      </c>
      <c r="F23" s="4">
        <v>1.0</v>
      </c>
      <c r="G23" s="4">
        <v>3.0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>
        <v>2</v>
      </c>
      <c r="C24" s="4" t="s">
        <v>25</v>
      </c>
      <c r="D24" s="4">
        <v>12</v>
      </c>
      <c r="E24" s="4">
        <v>8.0</v>
      </c>
      <c r="F24" s="4">
        <v>1.0</v>
      </c>
      <c r="G24" s="4">
        <v>3.0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>
        <v>3</v>
      </c>
      <c r="C25" s="4" t="s">
        <v>25</v>
      </c>
      <c r="D25" s="4">
        <v>12</v>
      </c>
      <c r="E25" s="4">
        <v>8.0</v>
      </c>
      <c r="F25" s="4">
        <v>1.0</v>
      </c>
      <c r="G25" s="4">
        <v>3.0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>
        <v>4</v>
      </c>
      <c r="C26" s="4" t="s">
        <v>25</v>
      </c>
      <c r="D26" s="4">
        <v>12</v>
      </c>
      <c r="E26" s="4">
        <v>8.0</v>
      </c>
      <c r="F26" s="4">
        <v>1.0</v>
      </c>
      <c r="G26" s="4">
        <v>3.0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>
        <v>5</v>
      </c>
      <c r="C27" s="4" t="s">
        <v>25</v>
      </c>
      <c r="D27" s="4">
        <v>12</v>
      </c>
      <c r="E27" s="4">
        <v>8.0</v>
      </c>
      <c r="F27" s="4">
        <v>1.0</v>
      </c>
      <c r="G27" s="4">
        <v>3.0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>
        <v>6</v>
      </c>
      <c r="C28" s="4" t="s">
        <v>25</v>
      </c>
      <c r="D28" s="4">
        <v>12</v>
      </c>
      <c r="E28" s="4">
        <v>8.0</v>
      </c>
      <c r="F28" s="4">
        <v>1.0</v>
      </c>
      <c r="G28" s="4">
        <v>3.0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>
        <v>7</v>
      </c>
      <c r="C29" s="4" t="s">
        <v>25</v>
      </c>
      <c r="D29" s="4">
        <v>12</v>
      </c>
      <c r="E29" s="4">
        <v>8.0</v>
      </c>
      <c r="F29" s="4">
        <v>1.0</v>
      </c>
      <c r="G29" s="4">
        <v>3.0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4444924.55</v>
      </c>
      <c r="P29" s="10"/>
      <c r="Q29" s="10"/>
    </row>
    <row r="30" spans="1:19">
      <c r="A30" s="6">
        <v>7</v>
      </c>
      <c r="B30" s="4" t="s">
        <v>39</v>
      </c>
      <c r="C30" s="4">
        <v>0</v>
      </c>
      <c r="D30" s="4">
        <v>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51</v>
      </c>
      <c r="N31" s="28" t="s">
        <v>52</v>
      </c>
      <c r="O31" s="25">
        <f>ROUNDDOWN(-(0.00),0)</f>
        <v>0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39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 t="s">
        <v>39</v>
      </c>
      <c r="C37" s="4">
        <v>0</v>
      </c>
      <c r="D37" s="4">
        <v>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4104862.0</v>
      </c>
      <c r="P37" s="10"/>
      <c r="Q37" s="10"/>
    </row>
    <row r="38" spans="1:19">
      <c r="A38" s="6">
        <v>15</v>
      </c>
      <c r="B38" s="4" t="s">
        <v>39</v>
      </c>
      <c r="C38" s="4">
        <v>0</v>
      </c>
      <c r="D38" s="4">
        <v>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12</v>
      </c>
      <c r="D39" s="9">
        <v>144</v>
      </c>
      <c r="E39" s="9">
        <v>96.0</v>
      </c>
      <c r="F39" s="9">
        <v>12.0</v>
      </c>
      <c r="G39" s="9">
        <v>36.0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48.0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38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4104900.0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339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341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342</v>
      </c>
      <c r="N4" s="10" t="s">
        <v>5</v>
      </c>
      <c r="O4" s="10">
        <v>251100053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68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19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343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>
        <v>1</v>
      </c>
      <c r="C9" s="4" t="s">
        <v>25</v>
      </c>
      <c r="D9" s="4">
        <v>12</v>
      </c>
      <c r="E9" s="4">
        <v>8.0</v>
      </c>
      <c r="F9" s="4">
        <v>1.0</v>
      </c>
      <c r="G9" s="4">
        <v>3.0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2201603.0</v>
      </c>
      <c r="P9" s="10"/>
      <c r="Q9" s="10"/>
    </row>
    <row r="10" spans="1:19">
      <c r="A10" s="6">
        <v>17</v>
      </c>
      <c r="B10" s="4">
        <v>2</v>
      </c>
      <c r="C10" s="4" t="s">
        <v>25</v>
      </c>
      <c r="D10" s="4">
        <v>12</v>
      </c>
      <c r="E10" s="4">
        <v>8.0</v>
      </c>
      <c r="F10" s="4">
        <v>1.0</v>
      </c>
      <c r="G10" s="4">
        <v>3.0</v>
      </c>
      <c r="H10" s="4">
        <v>0.0</v>
      </c>
      <c r="I10" s="4">
        <v>0.0</v>
      </c>
      <c r="K10" s="10" t="s">
        <v>27</v>
      </c>
      <c r="L10" s="10"/>
      <c r="M10" s="25" t="s">
        <v>116</v>
      </c>
      <c r="N10" s="25">
        <v>381780.81</v>
      </c>
      <c r="O10" s="25"/>
      <c r="P10" s="10"/>
      <c r="Q10" s="10"/>
    </row>
    <row r="11" spans="1:19">
      <c r="A11" s="6">
        <v>18</v>
      </c>
      <c r="B11" s="4">
        <v>3</v>
      </c>
      <c r="C11" s="4" t="s">
        <v>25</v>
      </c>
      <c r="D11" s="4">
        <v>12</v>
      </c>
      <c r="E11" s="4">
        <v>8.0</v>
      </c>
      <c r="F11" s="4">
        <v>1.0</v>
      </c>
      <c r="G11" s="4">
        <v>3.0</v>
      </c>
      <c r="H11" s="4">
        <v>0.0</v>
      </c>
      <c r="I11" s="4">
        <v>0.0</v>
      </c>
      <c r="K11" s="10" t="s">
        <v>29</v>
      </c>
      <c r="L11" s="10"/>
      <c r="M11" s="25" t="s">
        <v>117</v>
      </c>
      <c r="N11" s="25">
        <v>1527123.23</v>
      </c>
      <c r="O11" s="25"/>
      <c r="P11" s="10"/>
      <c r="Q11" s="10"/>
    </row>
    <row r="12" spans="1:19">
      <c r="A12" s="6">
        <v>19</v>
      </c>
      <c r="B12" s="4">
        <v>4</v>
      </c>
      <c r="C12" s="4" t="s">
        <v>25</v>
      </c>
      <c r="D12" s="4">
        <v>12</v>
      </c>
      <c r="E12" s="4">
        <v>8.0</v>
      </c>
      <c r="F12" s="4">
        <v>1.0</v>
      </c>
      <c r="G12" s="4">
        <v>3.0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>
        <v>5</v>
      </c>
      <c r="C13" s="4" t="s">
        <v>25</v>
      </c>
      <c r="D13" s="4">
        <v>12</v>
      </c>
      <c r="E13" s="4">
        <v>8.0</v>
      </c>
      <c r="F13" s="4">
        <v>1.0</v>
      </c>
      <c r="G13" s="4">
        <v>3.0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>
        <v>6</v>
      </c>
      <c r="C14" s="4" t="s">
        <v>25</v>
      </c>
      <c r="D14" s="4">
        <v>12</v>
      </c>
      <c r="E14" s="4">
        <v>8.0</v>
      </c>
      <c r="F14" s="4">
        <v>1.0</v>
      </c>
      <c r="G14" s="4">
        <v>3.0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1908904.0</v>
      </c>
      <c r="P14" s="10"/>
      <c r="Q14" s="10"/>
    </row>
    <row r="15" spans="1:19">
      <c r="A15" s="6">
        <v>22</v>
      </c>
      <c r="B15" s="4">
        <v>7</v>
      </c>
      <c r="C15" s="4" t="s">
        <v>25</v>
      </c>
      <c r="D15" s="4">
        <v>12</v>
      </c>
      <c r="E15" s="4">
        <v>8.0</v>
      </c>
      <c r="F15" s="4">
        <v>1.0</v>
      </c>
      <c r="G15" s="4">
        <v>3.0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>
        <v>8</v>
      </c>
      <c r="C16" s="4" t="s">
        <v>25</v>
      </c>
      <c r="D16" s="4">
        <v>12</v>
      </c>
      <c r="E16" s="4">
        <v>8.0</v>
      </c>
      <c r="F16" s="4">
        <v>1.0</v>
      </c>
      <c r="G16" s="4">
        <v>3.0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 t="s">
        <v>39</v>
      </c>
      <c r="C17" s="4">
        <v>0</v>
      </c>
      <c r="D17" s="4">
        <v>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K17" s="10" t="s">
        <v>36</v>
      </c>
      <c r="L17" s="10"/>
      <c r="M17" s="27" t="s">
        <v>118</v>
      </c>
      <c r="N17" s="25">
        <v>78000</v>
      </c>
      <c r="O17" s="25"/>
      <c r="P17" s="10"/>
      <c r="Q17" s="10"/>
    </row>
    <row r="18" spans="1:19">
      <c r="A18" s="6">
        <v>25</v>
      </c>
      <c r="B18" s="4" t="s">
        <v>39</v>
      </c>
      <c r="C18" s="4">
        <v>0</v>
      </c>
      <c r="D18" s="4">
        <v>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K18" s="10" t="s">
        <v>38</v>
      </c>
      <c r="L18" s="10"/>
      <c r="M18" s="27" t="s">
        <v>118</v>
      </c>
      <c r="N18" s="25">
        <v>130000</v>
      </c>
      <c r="O18" s="25"/>
      <c r="P18" s="10"/>
      <c r="Q18" s="10"/>
    </row>
    <row r="19" spans="1:19">
      <c r="A19" s="6">
        <v>26</v>
      </c>
      <c r="B19" s="4" t="s">
        <v>39</v>
      </c>
      <c r="C19" s="4">
        <v>0</v>
      </c>
      <c r="D19" s="4">
        <v>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K19" s="10" t="s">
        <v>40</v>
      </c>
      <c r="L19" s="10"/>
      <c r="M19" s="27" t="s">
        <v>87</v>
      </c>
      <c r="N19" s="25">
        <v>203225</v>
      </c>
      <c r="O19" s="25"/>
      <c r="P19" s="10"/>
      <c r="Q19" s="10"/>
    </row>
    <row r="20" spans="1:19">
      <c r="A20" s="6">
        <v>27</v>
      </c>
      <c r="B20" s="4">
        <v>1</v>
      </c>
      <c r="C20" s="4">
        <v>1</v>
      </c>
      <c r="D20" s="4">
        <v>12</v>
      </c>
      <c r="E20" s="4">
        <v>8.0</v>
      </c>
      <c r="F20" s="4">
        <v>1.0</v>
      </c>
      <c r="G20" s="4">
        <v>3.0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 t="s">
        <v>39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 t="s">
        <v>39</v>
      </c>
      <c r="C22" s="4">
        <v>0</v>
      </c>
      <c r="D22" s="4">
        <v>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411225</v>
      </c>
      <c r="P22" s="10"/>
      <c r="Q22" s="10"/>
    </row>
    <row r="23" spans="1:19">
      <c r="A23" s="6">
        <v>30</v>
      </c>
      <c r="B23" s="4" t="s">
        <v>39</v>
      </c>
      <c r="C23" s="4">
        <v>0</v>
      </c>
      <c r="D23" s="4">
        <v>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 t="s">
        <v>39</v>
      </c>
      <c r="C24" s="4">
        <v>0</v>
      </c>
      <c r="D24" s="4">
        <v>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 t="s">
        <v>39</v>
      </c>
      <c r="C25" s="4">
        <v>0</v>
      </c>
      <c r="D25" s="4">
        <v>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 t="s">
        <v>39</v>
      </c>
      <c r="C26" s="4">
        <v>0</v>
      </c>
      <c r="D26" s="4">
        <v>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 t="s">
        <v>39</v>
      </c>
      <c r="C27" s="4">
        <v>0</v>
      </c>
      <c r="D27" s="4">
        <v>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 t="s">
        <v>39</v>
      </c>
      <c r="C28" s="4">
        <v>0</v>
      </c>
      <c r="D28" s="4">
        <v>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 t="s">
        <v>39</v>
      </c>
      <c r="C29" s="4">
        <v>0</v>
      </c>
      <c r="D29" s="4">
        <v>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4726311.38</v>
      </c>
      <c r="P29" s="10"/>
      <c r="Q29" s="10"/>
    </row>
    <row r="30" spans="1:19">
      <c r="A30" s="6">
        <v>7</v>
      </c>
      <c r="B30" s="4" t="s">
        <v>39</v>
      </c>
      <c r="C30" s="4">
        <v>0</v>
      </c>
      <c r="D30" s="4">
        <v>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51</v>
      </c>
      <c r="N31" s="28" t="s">
        <v>52</v>
      </c>
      <c r="O31" s="25">
        <f>ROUNDDOWN(-(0.00),0)</f>
        <v>0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>
        <v>1</v>
      </c>
      <c r="C35" s="4">
        <v>1</v>
      </c>
      <c r="D35" s="4">
        <v>12</v>
      </c>
      <c r="E35" s="4">
        <v>8.0</v>
      </c>
      <c r="F35" s="4">
        <v>1.0</v>
      </c>
      <c r="G35" s="4">
        <v>3.0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>
        <v>2</v>
      </c>
      <c r="C36" s="4">
        <v>1</v>
      </c>
      <c r="D36" s="4">
        <v>12</v>
      </c>
      <c r="E36" s="4">
        <v>8.0</v>
      </c>
      <c r="F36" s="4">
        <v>1.0</v>
      </c>
      <c r="G36" s="4">
        <v>3.0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>
        <v>3</v>
      </c>
      <c r="C37" s="4">
        <v>1</v>
      </c>
      <c r="D37" s="4">
        <v>12</v>
      </c>
      <c r="E37" s="4">
        <v>8.0</v>
      </c>
      <c r="F37" s="4">
        <v>1.0</v>
      </c>
      <c r="G37" s="4">
        <v>3.0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4386248.0</v>
      </c>
      <c r="P37" s="10"/>
      <c r="Q37" s="10"/>
    </row>
    <row r="38" spans="1:19">
      <c r="A38" s="6">
        <v>15</v>
      </c>
      <c r="B38" s="4">
        <v>4</v>
      </c>
      <c r="C38" s="4">
        <v>1</v>
      </c>
      <c r="D38" s="4">
        <v>12</v>
      </c>
      <c r="E38" s="4">
        <v>8.0</v>
      </c>
      <c r="F38" s="4">
        <v>1.0</v>
      </c>
      <c r="G38" s="4">
        <v>3.0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13</v>
      </c>
      <c r="D39" s="9">
        <v>156</v>
      </c>
      <c r="E39" s="9">
        <v>104.0</v>
      </c>
      <c r="F39" s="9">
        <v>13.0</v>
      </c>
      <c r="G39" s="9">
        <v>39.0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52.0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-48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4386200.0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342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344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345</v>
      </c>
      <c r="N4" s="10" t="s">
        <v>5</v>
      </c>
      <c r="O4" s="10">
        <v>251200005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278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128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346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 t="s">
        <v>39</v>
      </c>
      <c r="C9" s="4">
        <v>0</v>
      </c>
      <c r="D9" s="4">
        <v>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508062.0</v>
      </c>
      <c r="P9" s="10"/>
      <c r="Q9" s="10"/>
    </row>
    <row r="10" spans="1:19">
      <c r="A10" s="6">
        <v>17</v>
      </c>
      <c r="B10" s="4" t="s">
        <v>39</v>
      </c>
      <c r="C10" s="4">
        <v>0</v>
      </c>
      <c r="D10" s="4">
        <v>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K10" s="10" t="s">
        <v>27</v>
      </c>
      <c r="L10" s="10"/>
      <c r="M10" s="25" t="s">
        <v>105</v>
      </c>
      <c r="N10" s="25">
        <v>88103.26</v>
      </c>
      <c r="O10" s="25"/>
      <c r="P10" s="10"/>
      <c r="Q10" s="10"/>
    </row>
    <row r="11" spans="1:19">
      <c r="A11" s="6">
        <v>18</v>
      </c>
      <c r="B11" s="4" t="s">
        <v>39</v>
      </c>
      <c r="C11" s="4">
        <v>0</v>
      </c>
      <c r="D11" s="4">
        <v>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K11" s="10" t="s">
        <v>29</v>
      </c>
      <c r="L11" s="10"/>
      <c r="M11" s="25" t="s">
        <v>106</v>
      </c>
      <c r="N11" s="25">
        <v>352413.05</v>
      </c>
      <c r="O11" s="25"/>
      <c r="P11" s="10"/>
      <c r="Q11" s="10"/>
    </row>
    <row r="12" spans="1:19">
      <c r="A12" s="6">
        <v>19</v>
      </c>
      <c r="B12" s="4" t="s">
        <v>39</v>
      </c>
      <c r="C12" s="4">
        <v>0</v>
      </c>
      <c r="D12" s="4">
        <v>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 t="s">
        <v>39</v>
      </c>
      <c r="C13" s="4">
        <v>0</v>
      </c>
      <c r="D13" s="4">
        <v>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 t="s">
        <v>39</v>
      </c>
      <c r="C14" s="4">
        <v>0</v>
      </c>
      <c r="D14" s="4">
        <v>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440516.0</v>
      </c>
      <c r="P14" s="10"/>
      <c r="Q14" s="10"/>
    </row>
    <row r="15" spans="1:19">
      <c r="A15" s="6">
        <v>22</v>
      </c>
      <c r="B15" s="4">
        <v>1</v>
      </c>
      <c r="C15" s="4" t="s">
        <v>25</v>
      </c>
      <c r="D15" s="4">
        <v>12</v>
      </c>
      <c r="E15" s="4">
        <v>8.0</v>
      </c>
      <c r="F15" s="4">
        <v>1.0</v>
      </c>
      <c r="G15" s="4">
        <v>3.0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>
        <v>2</v>
      </c>
      <c r="C16" s="4" t="s">
        <v>25</v>
      </c>
      <c r="D16" s="4">
        <v>12</v>
      </c>
      <c r="E16" s="4">
        <v>8.0</v>
      </c>
      <c r="F16" s="4">
        <v>1.0</v>
      </c>
      <c r="G16" s="4">
        <v>3.0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 t="s">
        <v>39</v>
      </c>
      <c r="C17" s="4">
        <v>0</v>
      </c>
      <c r="D17" s="4">
        <v>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K17" s="10" t="s">
        <v>36</v>
      </c>
      <c r="L17" s="10"/>
      <c r="M17" s="27" t="s">
        <v>107</v>
      </c>
      <c r="N17" s="25">
        <v>18000</v>
      </c>
      <c r="O17" s="25"/>
      <c r="P17" s="10"/>
      <c r="Q17" s="10"/>
    </row>
    <row r="18" spans="1:19">
      <c r="A18" s="6">
        <v>25</v>
      </c>
      <c r="B18" s="4" t="s">
        <v>39</v>
      </c>
      <c r="C18" s="4">
        <v>0</v>
      </c>
      <c r="D18" s="4">
        <v>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K18" s="10" t="s">
        <v>38</v>
      </c>
      <c r="L18" s="10"/>
      <c r="M18" s="27" t="s">
        <v>107</v>
      </c>
      <c r="N18" s="25">
        <v>30000</v>
      </c>
      <c r="O18" s="25"/>
      <c r="P18" s="10"/>
      <c r="Q18" s="10"/>
    </row>
    <row r="19" spans="1:19">
      <c r="A19" s="6">
        <v>26</v>
      </c>
      <c r="B19" s="4" t="s">
        <v>39</v>
      </c>
      <c r="C19" s="4">
        <v>0</v>
      </c>
      <c r="D19" s="4">
        <v>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K19" s="10" t="s">
        <v>40</v>
      </c>
      <c r="L19" s="10"/>
      <c r="M19" s="27" t="s">
        <v>100</v>
      </c>
      <c r="N19" s="25">
        <v>50806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 t="s">
        <v>39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 t="s">
        <v>39</v>
      </c>
      <c r="C22" s="4">
        <v>0</v>
      </c>
      <c r="D22" s="4">
        <v>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98806</v>
      </c>
      <c r="P22" s="10"/>
      <c r="Q22" s="10"/>
    </row>
    <row r="23" spans="1:19">
      <c r="A23" s="6">
        <v>30</v>
      </c>
      <c r="B23" s="4" t="s">
        <v>39</v>
      </c>
      <c r="C23" s="4">
        <v>0</v>
      </c>
      <c r="D23" s="4">
        <v>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 t="s">
        <v>39</v>
      </c>
      <c r="C24" s="4">
        <v>0</v>
      </c>
      <c r="D24" s="4">
        <v>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 t="s">
        <v>39</v>
      </c>
      <c r="C25" s="4">
        <v>0</v>
      </c>
      <c r="D25" s="4">
        <v>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 t="s">
        <v>39</v>
      </c>
      <c r="C26" s="4">
        <v>0</v>
      </c>
      <c r="D26" s="4">
        <v>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 t="s">
        <v>39</v>
      </c>
      <c r="C27" s="4">
        <v>0</v>
      </c>
      <c r="D27" s="4">
        <v>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 t="s">
        <v>39</v>
      </c>
      <c r="C28" s="4">
        <v>0</v>
      </c>
      <c r="D28" s="4">
        <v>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 t="s">
        <v>39</v>
      </c>
      <c r="C29" s="4">
        <v>0</v>
      </c>
      <c r="D29" s="4">
        <v>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1251964.15</v>
      </c>
      <c r="P29" s="10"/>
      <c r="Q29" s="10"/>
    </row>
    <row r="30" spans="1:19">
      <c r="A30" s="6">
        <v>7</v>
      </c>
      <c r="B30" s="4" t="s">
        <v>39</v>
      </c>
      <c r="C30" s="4">
        <v>0</v>
      </c>
      <c r="D30" s="4">
        <v>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134</v>
      </c>
      <c r="N31" s="28" t="s">
        <v>52</v>
      </c>
      <c r="O31" s="25">
        <f>ROUNDDOWN(-(0.00),0)</f>
        <v>0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>
        <v>1</v>
      </c>
      <c r="C35" s="4">
        <v>1</v>
      </c>
      <c r="D35" s="4">
        <v>12</v>
      </c>
      <c r="E35" s="4">
        <v>8.0</v>
      </c>
      <c r="F35" s="4">
        <v>1.0</v>
      </c>
      <c r="G35" s="4">
        <v>3.0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 t="s">
        <v>39</v>
      </c>
      <c r="C37" s="4">
        <v>0</v>
      </c>
      <c r="D37" s="4">
        <v>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911901.0</v>
      </c>
      <c r="P37" s="10"/>
      <c r="Q37" s="10"/>
    </row>
    <row r="38" spans="1:19">
      <c r="A38" s="6">
        <v>15</v>
      </c>
      <c r="B38" s="4" t="s">
        <v>39</v>
      </c>
      <c r="C38" s="4">
        <v>0</v>
      </c>
      <c r="D38" s="4">
        <v>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3</v>
      </c>
      <c r="D39" s="9">
        <v>36</v>
      </c>
      <c r="E39" s="9">
        <v>24.0</v>
      </c>
      <c r="F39" s="9">
        <v>3.0</v>
      </c>
      <c r="G39" s="9">
        <v>9.0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12.0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-1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911900.0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345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347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348</v>
      </c>
      <c r="N4" s="10" t="s">
        <v>5</v>
      </c>
      <c r="O4" s="10">
        <v>251100077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160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78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349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 t="s">
        <v>39</v>
      </c>
      <c r="C9" s="4">
        <v>0</v>
      </c>
      <c r="D9" s="4">
        <v>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1693541.0</v>
      </c>
      <c r="P9" s="10"/>
      <c r="Q9" s="10"/>
    </row>
    <row r="10" spans="1:19">
      <c r="A10" s="6">
        <v>17</v>
      </c>
      <c r="B10" s="4">
        <v>1</v>
      </c>
      <c r="C10" s="4" t="s">
        <v>25</v>
      </c>
      <c r="D10" s="4">
        <v>12</v>
      </c>
      <c r="E10" s="4">
        <v>8.0</v>
      </c>
      <c r="F10" s="4">
        <v>1.0</v>
      </c>
      <c r="G10" s="4">
        <v>3.0</v>
      </c>
      <c r="H10" s="4">
        <v>0.0</v>
      </c>
      <c r="I10" s="4">
        <v>0.0</v>
      </c>
      <c r="K10" s="10" t="s">
        <v>27</v>
      </c>
      <c r="L10" s="10"/>
      <c r="M10" s="25" t="s">
        <v>28</v>
      </c>
      <c r="N10" s="25">
        <v>293677.54</v>
      </c>
      <c r="O10" s="25"/>
      <c r="P10" s="10"/>
      <c r="Q10" s="10"/>
    </row>
    <row r="11" spans="1:19">
      <c r="A11" s="6">
        <v>18</v>
      </c>
      <c r="B11" s="4">
        <v>2</v>
      </c>
      <c r="C11" s="4" t="s">
        <v>25</v>
      </c>
      <c r="D11" s="4">
        <v>12</v>
      </c>
      <c r="E11" s="4">
        <v>8.0</v>
      </c>
      <c r="F11" s="4">
        <v>1.0</v>
      </c>
      <c r="G11" s="4">
        <v>3.0</v>
      </c>
      <c r="H11" s="4">
        <v>0.0</v>
      </c>
      <c r="I11" s="4">
        <v>0.0</v>
      </c>
      <c r="K11" s="10" t="s">
        <v>29</v>
      </c>
      <c r="L11" s="10"/>
      <c r="M11" s="25" t="s">
        <v>30</v>
      </c>
      <c r="N11" s="25">
        <v>1174710.17</v>
      </c>
      <c r="O11" s="25"/>
      <c r="P11" s="10"/>
      <c r="Q11" s="10"/>
    </row>
    <row r="12" spans="1:19">
      <c r="A12" s="6">
        <v>19</v>
      </c>
      <c r="B12" s="4">
        <v>3</v>
      </c>
      <c r="C12" s="4" t="s">
        <v>25</v>
      </c>
      <c r="D12" s="4">
        <v>12</v>
      </c>
      <c r="E12" s="4">
        <v>8.0</v>
      </c>
      <c r="F12" s="4">
        <v>1.0</v>
      </c>
      <c r="G12" s="4">
        <v>3.0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>
        <v>4</v>
      </c>
      <c r="C13" s="4" t="s">
        <v>25</v>
      </c>
      <c r="D13" s="4">
        <v>12</v>
      </c>
      <c r="E13" s="4">
        <v>8.0</v>
      </c>
      <c r="F13" s="4">
        <v>1.0</v>
      </c>
      <c r="G13" s="4">
        <v>3.0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 t="s">
        <v>39</v>
      </c>
      <c r="C14" s="4">
        <v>0</v>
      </c>
      <c r="D14" s="4">
        <v>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1468388.0</v>
      </c>
      <c r="P14" s="10"/>
      <c r="Q14" s="10"/>
    </row>
    <row r="15" spans="1:19">
      <c r="A15" s="6">
        <v>22</v>
      </c>
      <c r="B15" s="4" t="s">
        <v>39</v>
      </c>
      <c r="C15" s="4">
        <v>0</v>
      </c>
      <c r="D15" s="4">
        <v>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>
        <v>1</v>
      </c>
      <c r="C16" s="4" t="s">
        <v>25</v>
      </c>
      <c r="D16" s="4">
        <v>12</v>
      </c>
      <c r="E16" s="4">
        <v>8.0</v>
      </c>
      <c r="F16" s="4">
        <v>1.0</v>
      </c>
      <c r="G16" s="4">
        <v>3.0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>
        <v>2</v>
      </c>
      <c r="C17" s="4" t="s">
        <v>25</v>
      </c>
      <c r="D17" s="4">
        <v>12</v>
      </c>
      <c r="E17" s="4">
        <v>8.0</v>
      </c>
      <c r="F17" s="4">
        <v>1.0</v>
      </c>
      <c r="G17" s="4">
        <v>3.0</v>
      </c>
      <c r="H17" s="4">
        <v>0.0</v>
      </c>
      <c r="I17" s="4">
        <v>0.0</v>
      </c>
      <c r="K17" s="10" t="s">
        <v>36</v>
      </c>
      <c r="L17" s="10"/>
      <c r="M17" s="27" t="s">
        <v>37</v>
      </c>
      <c r="N17" s="25">
        <v>60000</v>
      </c>
      <c r="O17" s="25"/>
      <c r="P17" s="10"/>
      <c r="Q17" s="10"/>
    </row>
    <row r="18" spans="1:19">
      <c r="A18" s="6">
        <v>25</v>
      </c>
      <c r="B18" s="4">
        <v>3</v>
      </c>
      <c r="C18" s="4" t="s">
        <v>25</v>
      </c>
      <c r="D18" s="4">
        <v>12</v>
      </c>
      <c r="E18" s="4">
        <v>8.0</v>
      </c>
      <c r="F18" s="4">
        <v>1.0</v>
      </c>
      <c r="G18" s="4">
        <v>3.0</v>
      </c>
      <c r="H18" s="4">
        <v>0.0</v>
      </c>
      <c r="I18" s="4">
        <v>0.0</v>
      </c>
      <c r="K18" s="10" t="s">
        <v>38</v>
      </c>
      <c r="L18" s="10"/>
      <c r="M18" s="27" t="s">
        <v>37</v>
      </c>
      <c r="N18" s="25">
        <v>100000</v>
      </c>
      <c r="O18" s="25"/>
      <c r="P18" s="10"/>
      <c r="Q18" s="10"/>
    </row>
    <row r="19" spans="1:19">
      <c r="A19" s="6">
        <v>26</v>
      </c>
      <c r="B19" s="4" t="s">
        <v>39</v>
      </c>
      <c r="C19" s="4">
        <v>0</v>
      </c>
      <c r="D19" s="4">
        <v>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K19" s="10" t="s">
        <v>40</v>
      </c>
      <c r="L19" s="10"/>
      <c r="M19" s="27" t="s">
        <v>37</v>
      </c>
      <c r="N19" s="25">
        <v>254031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>
        <v>1</v>
      </c>
      <c r="C21" s="4" t="s">
        <v>25</v>
      </c>
      <c r="D21" s="4">
        <v>12</v>
      </c>
      <c r="E21" s="4">
        <v>8.0</v>
      </c>
      <c r="F21" s="4">
        <v>1.0</v>
      </c>
      <c r="G21" s="4">
        <v>3.0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>
        <v>2</v>
      </c>
      <c r="C22" s="4" t="s">
        <v>25</v>
      </c>
      <c r="D22" s="4">
        <v>12</v>
      </c>
      <c r="E22" s="4">
        <v>8.0</v>
      </c>
      <c r="F22" s="4">
        <v>1.0</v>
      </c>
      <c r="G22" s="4">
        <v>3.0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414031</v>
      </c>
      <c r="P22" s="10"/>
      <c r="Q22" s="10"/>
    </row>
    <row r="23" spans="1:19">
      <c r="A23" s="6">
        <v>30</v>
      </c>
      <c r="B23" s="4">
        <v>3</v>
      </c>
      <c r="C23" s="4" t="s">
        <v>25</v>
      </c>
      <c r="D23" s="4">
        <v>12</v>
      </c>
      <c r="E23" s="4">
        <v>8.0</v>
      </c>
      <c r="F23" s="4">
        <v>1.0</v>
      </c>
      <c r="G23" s="4">
        <v>3.0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 t="s">
        <v>39</v>
      </c>
      <c r="C24" s="4">
        <v>0</v>
      </c>
      <c r="D24" s="4">
        <v>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 t="s">
        <v>39</v>
      </c>
      <c r="C25" s="4">
        <v>0</v>
      </c>
      <c r="D25" s="4">
        <v>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 t="s">
        <v>39</v>
      </c>
      <c r="C26" s="4">
        <v>0</v>
      </c>
      <c r="D26" s="4">
        <v>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 t="s">
        <v>39</v>
      </c>
      <c r="C27" s="4">
        <v>0</v>
      </c>
      <c r="D27" s="4">
        <v>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 t="s">
        <v>39</v>
      </c>
      <c r="C28" s="4">
        <v>0</v>
      </c>
      <c r="D28" s="4">
        <v>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 t="s">
        <v>39</v>
      </c>
      <c r="C29" s="4">
        <v>0</v>
      </c>
      <c r="D29" s="4">
        <v>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3780538.9</v>
      </c>
      <c r="P29" s="10"/>
      <c r="Q29" s="10"/>
    </row>
    <row r="30" spans="1:19">
      <c r="A30" s="6">
        <v>7</v>
      </c>
      <c r="B30" s="4" t="s">
        <v>39</v>
      </c>
      <c r="C30" s="4">
        <v>0</v>
      </c>
      <c r="D30" s="4">
        <v>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51</v>
      </c>
      <c r="N31" s="28" t="s">
        <v>52</v>
      </c>
      <c r="O31" s="25">
        <f>ROUNDDOWN(-(0.00),0)</f>
        <v>0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39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 t="s">
        <v>39</v>
      </c>
      <c r="C37" s="4">
        <v>0</v>
      </c>
      <c r="D37" s="4">
        <v>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3440476.0</v>
      </c>
      <c r="P37" s="10"/>
      <c r="Q37" s="10"/>
    </row>
    <row r="38" spans="1:19">
      <c r="A38" s="6">
        <v>15</v>
      </c>
      <c r="B38" s="4" t="s">
        <v>39</v>
      </c>
      <c r="C38" s="4">
        <v>0</v>
      </c>
      <c r="D38" s="4">
        <v>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10</v>
      </c>
      <c r="D39" s="9">
        <v>120</v>
      </c>
      <c r="E39" s="9">
        <v>80.0</v>
      </c>
      <c r="F39" s="9">
        <v>10.0</v>
      </c>
      <c r="G39" s="9">
        <v>30.0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40.0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24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3440500.0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348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350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351</v>
      </c>
      <c r="N4" s="10" t="s">
        <v>5</v>
      </c>
      <c r="O4" s="10">
        <v>251100019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286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128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352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 t="s">
        <v>39</v>
      </c>
      <c r="C9" s="4">
        <v>0</v>
      </c>
      <c r="D9" s="4">
        <v>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2709665.0</v>
      </c>
      <c r="P9" s="10"/>
      <c r="Q9" s="10"/>
    </row>
    <row r="10" spans="1:19">
      <c r="A10" s="6">
        <v>17</v>
      </c>
      <c r="B10" s="4" t="s">
        <v>39</v>
      </c>
      <c r="C10" s="4">
        <v>0</v>
      </c>
      <c r="D10" s="4">
        <v>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K10" s="10" t="s">
        <v>27</v>
      </c>
      <c r="L10" s="10"/>
      <c r="M10" s="25" t="s">
        <v>123</v>
      </c>
      <c r="N10" s="25">
        <v>469884.07</v>
      </c>
      <c r="O10" s="25"/>
      <c r="P10" s="10"/>
      <c r="Q10" s="10"/>
    </row>
    <row r="11" spans="1:19">
      <c r="A11" s="6">
        <v>18</v>
      </c>
      <c r="B11" s="4" t="s">
        <v>39</v>
      </c>
      <c r="C11" s="4">
        <v>0</v>
      </c>
      <c r="D11" s="4">
        <v>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K11" s="10" t="s">
        <v>29</v>
      </c>
      <c r="L11" s="10"/>
      <c r="M11" s="25" t="s">
        <v>353</v>
      </c>
      <c r="N11" s="25">
        <v>1879536.28</v>
      </c>
      <c r="O11" s="25"/>
      <c r="P11" s="10"/>
      <c r="Q11" s="10"/>
    </row>
    <row r="12" spans="1:19">
      <c r="A12" s="6">
        <v>19</v>
      </c>
      <c r="B12" s="4" t="s">
        <v>39</v>
      </c>
      <c r="C12" s="4">
        <v>0</v>
      </c>
      <c r="D12" s="4">
        <v>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>
        <v>1</v>
      </c>
      <c r="C13" s="4">
        <v>1</v>
      </c>
      <c r="D13" s="4">
        <v>12</v>
      </c>
      <c r="E13" s="4">
        <v>8.0</v>
      </c>
      <c r="F13" s="4">
        <v>1.0</v>
      </c>
      <c r="G13" s="4">
        <v>3.0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>
        <v>2</v>
      </c>
      <c r="C14" s="4">
        <v>1</v>
      </c>
      <c r="D14" s="4">
        <v>12</v>
      </c>
      <c r="E14" s="4">
        <v>8.0</v>
      </c>
      <c r="F14" s="4">
        <v>1.0</v>
      </c>
      <c r="G14" s="4">
        <v>3.0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2349420.0</v>
      </c>
      <c r="P14" s="10"/>
      <c r="Q14" s="10"/>
    </row>
    <row r="15" spans="1:19">
      <c r="A15" s="6">
        <v>22</v>
      </c>
      <c r="B15" s="4">
        <v>3</v>
      </c>
      <c r="C15" s="4">
        <v>1</v>
      </c>
      <c r="D15" s="4">
        <v>12</v>
      </c>
      <c r="E15" s="4">
        <v>8.0</v>
      </c>
      <c r="F15" s="4">
        <v>1.0</v>
      </c>
      <c r="G15" s="4">
        <v>3.0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 t="s">
        <v>39</v>
      </c>
      <c r="C16" s="4">
        <v>0</v>
      </c>
      <c r="D16" s="4">
        <v>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 t="s">
        <v>39</v>
      </c>
      <c r="C17" s="4">
        <v>0</v>
      </c>
      <c r="D17" s="4">
        <v>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K17" s="10" t="s">
        <v>36</v>
      </c>
      <c r="L17" s="10"/>
      <c r="M17" s="27" t="s">
        <v>125</v>
      </c>
      <c r="N17" s="25">
        <v>96000</v>
      </c>
      <c r="O17" s="25"/>
      <c r="P17" s="10"/>
      <c r="Q17" s="10"/>
    </row>
    <row r="18" spans="1:19">
      <c r="A18" s="6">
        <v>25</v>
      </c>
      <c r="B18" s="4">
        <v>1</v>
      </c>
      <c r="C18" s="4">
        <v>1</v>
      </c>
      <c r="D18" s="4">
        <v>12</v>
      </c>
      <c r="E18" s="4">
        <v>8.0</v>
      </c>
      <c r="F18" s="4">
        <v>1.0</v>
      </c>
      <c r="G18" s="4">
        <v>3.0</v>
      </c>
      <c r="H18" s="4">
        <v>0.0</v>
      </c>
      <c r="I18" s="4">
        <v>0.0</v>
      </c>
      <c r="K18" s="10" t="s">
        <v>38</v>
      </c>
      <c r="L18" s="10"/>
      <c r="M18" s="27" t="s">
        <v>125</v>
      </c>
      <c r="N18" s="25">
        <v>160000</v>
      </c>
      <c r="O18" s="25"/>
      <c r="P18" s="10"/>
      <c r="Q18" s="10"/>
    </row>
    <row r="19" spans="1:19">
      <c r="A19" s="6">
        <v>26</v>
      </c>
      <c r="B19" s="4">
        <v>2</v>
      </c>
      <c r="C19" s="4">
        <v>1</v>
      </c>
      <c r="D19" s="4">
        <v>12</v>
      </c>
      <c r="E19" s="4">
        <v>8.0</v>
      </c>
      <c r="F19" s="4">
        <v>1.0</v>
      </c>
      <c r="G19" s="4">
        <v>3.0</v>
      </c>
      <c r="H19" s="4">
        <v>0.0</v>
      </c>
      <c r="I19" s="4">
        <v>0.0</v>
      </c>
      <c r="K19" s="10" t="s">
        <v>40</v>
      </c>
      <c r="L19" s="10"/>
      <c r="M19" s="27" t="s">
        <v>80</v>
      </c>
      <c r="N19" s="25">
        <v>0</v>
      </c>
      <c r="O19" s="25"/>
      <c r="P19" s="10"/>
      <c r="Q19" s="10"/>
    </row>
    <row r="20" spans="1:19">
      <c r="A20" s="6">
        <v>27</v>
      </c>
      <c r="B20" s="4">
        <v>3</v>
      </c>
      <c r="C20" s="4">
        <v>1</v>
      </c>
      <c r="D20" s="4">
        <v>12</v>
      </c>
      <c r="E20" s="4">
        <v>8.0</v>
      </c>
      <c r="F20" s="4">
        <v>1.0</v>
      </c>
      <c r="G20" s="4">
        <v>3.0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>
        <v>4</v>
      </c>
      <c r="C21" s="4">
        <v>1</v>
      </c>
      <c r="D21" s="4">
        <v>12</v>
      </c>
      <c r="E21" s="4">
        <v>8.0</v>
      </c>
      <c r="F21" s="4">
        <v>1.0</v>
      </c>
      <c r="G21" s="4">
        <v>3.0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>
        <v>5</v>
      </c>
      <c r="C22" s="4">
        <v>1</v>
      </c>
      <c r="D22" s="4">
        <v>12</v>
      </c>
      <c r="E22" s="4">
        <v>8.0</v>
      </c>
      <c r="F22" s="4">
        <v>1.0</v>
      </c>
      <c r="G22" s="4">
        <v>3.0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256000</v>
      </c>
      <c r="P22" s="10"/>
      <c r="Q22" s="10"/>
    </row>
    <row r="23" spans="1:19">
      <c r="A23" s="6">
        <v>30</v>
      </c>
      <c r="B23" s="4">
        <v>6</v>
      </c>
      <c r="C23" s="4">
        <v>1</v>
      </c>
      <c r="D23" s="4">
        <v>12</v>
      </c>
      <c r="E23" s="4">
        <v>8.0</v>
      </c>
      <c r="F23" s="4">
        <v>1.0</v>
      </c>
      <c r="G23" s="4">
        <v>3.0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>
        <v>7</v>
      </c>
      <c r="C24" s="4">
        <v>1</v>
      </c>
      <c r="D24" s="4">
        <v>12</v>
      </c>
      <c r="E24" s="4">
        <v>8.0</v>
      </c>
      <c r="F24" s="4">
        <v>1.0</v>
      </c>
      <c r="G24" s="4">
        <v>3.0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>
        <v>8</v>
      </c>
      <c r="C25" s="4">
        <v>1</v>
      </c>
      <c r="D25" s="4">
        <v>12</v>
      </c>
      <c r="E25" s="4">
        <v>8.0</v>
      </c>
      <c r="F25" s="4">
        <v>1.0</v>
      </c>
      <c r="G25" s="4">
        <v>3.0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>
        <v>9</v>
      </c>
      <c r="C26" s="4">
        <v>1</v>
      </c>
      <c r="D26" s="4">
        <v>12</v>
      </c>
      <c r="E26" s="4">
        <v>8.0</v>
      </c>
      <c r="F26" s="4">
        <v>1.0</v>
      </c>
      <c r="G26" s="4">
        <v>3.0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>
        <v>1</v>
      </c>
      <c r="C27" s="4">
        <v>1</v>
      </c>
      <c r="D27" s="4">
        <v>12</v>
      </c>
      <c r="E27" s="4">
        <v>8.0</v>
      </c>
      <c r="F27" s="4">
        <v>1.0</v>
      </c>
      <c r="G27" s="4">
        <v>3.0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 t="s">
        <v>39</v>
      </c>
      <c r="C28" s="4">
        <v>0</v>
      </c>
      <c r="D28" s="4">
        <v>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 t="s">
        <v>39</v>
      </c>
      <c r="C29" s="4">
        <v>0</v>
      </c>
      <c r="D29" s="4">
        <v>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5519664.84</v>
      </c>
      <c r="P29" s="10"/>
      <c r="Q29" s="10"/>
    </row>
    <row r="30" spans="1:19">
      <c r="A30" s="6">
        <v>7</v>
      </c>
      <c r="B30" s="4" t="s">
        <v>39</v>
      </c>
      <c r="C30" s="4">
        <v>0</v>
      </c>
      <c r="D30" s="4">
        <v>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134</v>
      </c>
      <c r="N31" s="28" t="s">
        <v>52</v>
      </c>
      <c r="O31" s="25">
        <f>ROUNDDOWN(-(0.00),0)</f>
        <v>0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39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>
        <v>1</v>
      </c>
      <c r="C36" s="4">
        <v>1</v>
      </c>
      <c r="D36" s="4">
        <v>12</v>
      </c>
      <c r="E36" s="4">
        <v>8.0</v>
      </c>
      <c r="F36" s="4">
        <v>1.0</v>
      </c>
      <c r="G36" s="4">
        <v>3.0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>
        <v>2</v>
      </c>
      <c r="C37" s="4">
        <v>1</v>
      </c>
      <c r="D37" s="4">
        <v>12</v>
      </c>
      <c r="E37" s="4">
        <v>8.0</v>
      </c>
      <c r="F37" s="4">
        <v>1.0</v>
      </c>
      <c r="G37" s="4">
        <v>3.0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5179602.0</v>
      </c>
      <c r="P37" s="10"/>
      <c r="Q37" s="10"/>
    </row>
    <row r="38" spans="1:19">
      <c r="A38" s="6">
        <v>15</v>
      </c>
      <c r="B38" s="4">
        <v>3</v>
      </c>
      <c r="C38" s="4">
        <v>1</v>
      </c>
      <c r="D38" s="4">
        <v>12</v>
      </c>
      <c r="E38" s="4">
        <v>8.0</v>
      </c>
      <c r="F38" s="4">
        <v>1.0</v>
      </c>
      <c r="G38" s="4">
        <v>3.0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16</v>
      </c>
      <c r="D39" s="9">
        <v>192</v>
      </c>
      <c r="E39" s="9">
        <v>128.0</v>
      </c>
      <c r="F39" s="9">
        <v>16.0</v>
      </c>
      <c r="G39" s="9">
        <v>48.0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64.0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-2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5179600.0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351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354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355</v>
      </c>
      <c r="N4" s="10" t="s">
        <v>5</v>
      </c>
      <c r="O4" s="10">
        <v>251100081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356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128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357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 t="s">
        <v>39</v>
      </c>
      <c r="C9" s="4">
        <v>0</v>
      </c>
      <c r="D9" s="4">
        <v>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4403205.0</v>
      </c>
      <c r="P9" s="10"/>
      <c r="Q9" s="10"/>
    </row>
    <row r="10" spans="1:19">
      <c r="A10" s="6">
        <v>17</v>
      </c>
      <c r="B10" s="4">
        <v>1</v>
      </c>
      <c r="C10" s="4">
        <v>1</v>
      </c>
      <c r="D10" s="4">
        <v>12</v>
      </c>
      <c r="E10" s="4">
        <v>8.0</v>
      </c>
      <c r="F10" s="4">
        <v>1.0</v>
      </c>
      <c r="G10" s="4">
        <v>3.0</v>
      </c>
      <c r="H10" s="4">
        <v>0.0</v>
      </c>
      <c r="I10" s="4">
        <v>0.0</v>
      </c>
      <c r="K10" s="10" t="s">
        <v>27</v>
      </c>
      <c r="L10" s="10"/>
      <c r="M10" s="25" t="s">
        <v>358</v>
      </c>
      <c r="N10" s="25">
        <v>763561.61</v>
      </c>
      <c r="O10" s="25"/>
      <c r="P10" s="10"/>
      <c r="Q10" s="10"/>
    </row>
    <row r="11" spans="1:19">
      <c r="A11" s="6">
        <v>18</v>
      </c>
      <c r="B11" s="4">
        <v>2</v>
      </c>
      <c r="C11" s="4">
        <v>1</v>
      </c>
      <c r="D11" s="4">
        <v>12</v>
      </c>
      <c r="E11" s="4">
        <v>8.0</v>
      </c>
      <c r="F11" s="4">
        <v>1.0</v>
      </c>
      <c r="G11" s="4">
        <v>3.0</v>
      </c>
      <c r="H11" s="4">
        <v>0.0</v>
      </c>
      <c r="I11" s="4">
        <v>0.0</v>
      </c>
      <c r="K11" s="10" t="s">
        <v>29</v>
      </c>
      <c r="L11" s="10"/>
      <c r="M11" s="25" t="s">
        <v>359</v>
      </c>
      <c r="N11" s="25">
        <v>3054246.45</v>
      </c>
      <c r="O11" s="25"/>
      <c r="P11" s="10"/>
      <c r="Q11" s="10"/>
    </row>
    <row r="12" spans="1:19">
      <c r="A12" s="6">
        <v>19</v>
      </c>
      <c r="B12" s="4">
        <v>3</v>
      </c>
      <c r="C12" s="4">
        <v>1</v>
      </c>
      <c r="D12" s="4">
        <v>12</v>
      </c>
      <c r="E12" s="4">
        <v>8.0</v>
      </c>
      <c r="F12" s="4">
        <v>1.0</v>
      </c>
      <c r="G12" s="4">
        <v>3.0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>
        <v>4</v>
      </c>
      <c r="C13" s="4">
        <v>1</v>
      </c>
      <c r="D13" s="4">
        <v>12</v>
      </c>
      <c r="E13" s="4">
        <v>8.0</v>
      </c>
      <c r="F13" s="4">
        <v>1.0</v>
      </c>
      <c r="G13" s="4">
        <v>3.0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>
        <v>5</v>
      </c>
      <c r="C14" s="4">
        <v>1</v>
      </c>
      <c r="D14" s="4">
        <v>12</v>
      </c>
      <c r="E14" s="4">
        <v>8.0</v>
      </c>
      <c r="F14" s="4">
        <v>1.0</v>
      </c>
      <c r="G14" s="4">
        <v>3.0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3817808.0</v>
      </c>
      <c r="P14" s="10"/>
      <c r="Q14" s="10"/>
    </row>
    <row r="15" spans="1:19">
      <c r="A15" s="6">
        <v>22</v>
      </c>
      <c r="B15" s="4">
        <v>6</v>
      </c>
      <c r="C15" s="4">
        <v>1</v>
      </c>
      <c r="D15" s="4">
        <v>12</v>
      </c>
      <c r="E15" s="4">
        <v>8.0</v>
      </c>
      <c r="F15" s="4">
        <v>1.0</v>
      </c>
      <c r="G15" s="4">
        <v>3.0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>
        <v>7</v>
      </c>
      <c r="C16" s="4">
        <v>1</v>
      </c>
      <c r="D16" s="4">
        <v>12</v>
      </c>
      <c r="E16" s="4">
        <v>8.0</v>
      </c>
      <c r="F16" s="4">
        <v>1.0</v>
      </c>
      <c r="G16" s="4">
        <v>3.0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>
        <v>8</v>
      </c>
      <c r="C17" s="4">
        <v>1</v>
      </c>
      <c r="D17" s="4">
        <v>12</v>
      </c>
      <c r="E17" s="4">
        <v>8.0</v>
      </c>
      <c r="F17" s="4">
        <v>1.0</v>
      </c>
      <c r="G17" s="4">
        <v>3.0</v>
      </c>
      <c r="H17" s="4">
        <v>0.0</v>
      </c>
      <c r="I17" s="4">
        <v>0.0</v>
      </c>
      <c r="K17" s="10" t="s">
        <v>36</v>
      </c>
      <c r="L17" s="10"/>
      <c r="M17" s="27" t="s">
        <v>360</v>
      </c>
      <c r="N17" s="25">
        <v>156000</v>
      </c>
      <c r="O17" s="25"/>
      <c r="P17" s="10"/>
      <c r="Q17" s="10"/>
    </row>
    <row r="18" spans="1:19">
      <c r="A18" s="6">
        <v>25</v>
      </c>
      <c r="B18" s="4">
        <v>9</v>
      </c>
      <c r="C18" s="4">
        <v>1</v>
      </c>
      <c r="D18" s="4">
        <v>12</v>
      </c>
      <c r="E18" s="4">
        <v>8.0</v>
      </c>
      <c r="F18" s="4">
        <v>1.0</v>
      </c>
      <c r="G18" s="4">
        <v>3.0</v>
      </c>
      <c r="H18" s="4">
        <v>0.0</v>
      </c>
      <c r="I18" s="4">
        <v>0.0</v>
      </c>
      <c r="K18" s="10" t="s">
        <v>38</v>
      </c>
      <c r="L18" s="10"/>
      <c r="M18" s="27" t="s">
        <v>360</v>
      </c>
      <c r="N18" s="25">
        <v>260000</v>
      </c>
      <c r="O18" s="25"/>
      <c r="P18" s="10"/>
      <c r="Q18" s="10"/>
    </row>
    <row r="19" spans="1:19">
      <c r="A19" s="6">
        <v>26</v>
      </c>
      <c r="B19" s="4">
        <v>1</v>
      </c>
      <c r="C19" s="4">
        <v>1</v>
      </c>
      <c r="D19" s="4">
        <v>12</v>
      </c>
      <c r="E19" s="4">
        <v>8.0</v>
      </c>
      <c r="F19" s="4">
        <v>1.0</v>
      </c>
      <c r="G19" s="4">
        <v>3.0</v>
      </c>
      <c r="H19" s="4">
        <v>0.0</v>
      </c>
      <c r="I19" s="4">
        <v>0.0</v>
      </c>
      <c r="K19" s="10" t="s">
        <v>40</v>
      </c>
      <c r="L19" s="10"/>
      <c r="M19" s="27" t="s">
        <v>80</v>
      </c>
      <c r="N19" s="25">
        <v>0</v>
      </c>
      <c r="O19" s="25"/>
      <c r="P19" s="10"/>
      <c r="Q19" s="10"/>
    </row>
    <row r="20" spans="1:19">
      <c r="A20" s="6">
        <v>27</v>
      </c>
      <c r="B20" s="4">
        <v>2</v>
      </c>
      <c r="C20" s="4">
        <v>1</v>
      </c>
      <c r="D20" s="4">
        <v>12</v>
      </c>
      <c r="E20" s="4">
        <v>8.0</v>
      </c>
      <c r="F20" s="4">
        <v>1.0</v>
      </c>
      <c r="G20" s="4">
        <v>3.0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>
        <v>3</v>
      </c>
      <c r="C21" s="4">
        <v>1</v>
      </c>
      <c r="D21" s="4">
        <v>12</v>
      </c>
      <c r="E21" s="4">
        <v>8.0</v>
      </c>
      <c r="F21" s="4">
        <v>1.0</v>
      </c>
      <c r="G21" s="4">
        <v>3.0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>
        <v>4</v>
      </c>
      <c r="C22" s="4">
        <v>1</v>
      </c>
      <c r="D22" s="4">
        <v>12</v>
      </c>
      <c r="E22" s="4">
        <v>8.0</v>
      </c>
      <c r="F22" s="4">
        <v>1.0</v>
      </c>
      <c r="G22" s="4">
        <v>3.0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416000</v>
      </c>
      <c r="P22" s="10"/>
      <c r="Q22" s="10"/>
    </row>
    <row r="23" spans="1:19">
      <c r="A23" s="6">
        <v>30</v>
      </c>
      <c r="B23" s="4">
        <v>5</v>
      </c>
      <c r="C23" s="4">
        <v>1</v>
      </c>
      <c r="D23" s="4">
        <v>12</v>
      </c>
      <c r="E23" s="4">
        <v>8.0</v>
      </c>
      <c r="F23" s="4">
        <v>1.0</v>
      </c>
      <c r="G23" s="4">
        <v>3.0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>
        <v>6</v>
      </c>
      <c r="C24" s="4">
        <v>1</v>
      </c>
      <c r="D24" s="4">
        <v>12</v>
      </c>
      <c r="E24" s="4">
        <v>8.0</v>
      </c>
      <c r="F24" s="4">
        <v>1.0</v>
      </c>
      <c r="G24" s="4">
        <v>3.0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>
        <v>7</v>
      </c>
      <c r="C25" s="4">
        <v>1</v>
      </c>
      <c r="D25" s="4">
        <v>12</v>
      </c>
      <c r="E25" s="4">
        <v>8.0</v>
      </c>
      <c r="F25" s="4">
        <v>1.0</v>
      </c>
      <c r="G25" s="4">
        <v>3.0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>
        <v>8</v>
      </c>
      <c r="C26" s="4">
        <v>1</v>
      </c>
      <c r="D26" s="4">
        <v>12</v>
      </c>
      <c r="E26" s="4">
        <v>8.0</v>
      </c>
      <c r="F26" s="4">
        <v>1.0</v>
      </c>
      <c r="G26" s="4">
        <v>3.0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>
        <v>9</v>
      </c>
      <c r="C27" s="4">
        <v>1</v>
      </c>
      <c r="D27" s="4">
        <v>12</v>
      </c>
      <c r="E27" s="4">
        <v>8.0</v>
      </c>
      <c r="F27" s="4">
        <v>1.0</v>
      </c>
      <c r="G27" s="4">
        <v>3.0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>
        <v>1</v>
      </c>
      <c r="C28" s="4">
        <v>1</v>
      </c>
      <c r="D28" s="4">
        <v>12</v>
      </c>
      <c r="E28" s="4">
        <v>8.0</v>
      </c>
      <c r="F28" s="4">
        <v>1.0</v>
      </c>
      <c r="G28" s="4">
        <v>3.0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>
        <v>2</v>
      </c>
      <c r="C29" s="4">
        <v>1</v>
      </c>
      <c r="D29" s="4">
        <v>12</v>
      </c>
      <c r="E29" s="4">
        <v>8.0</v>
      </c>
      <c r="F29" s="4">
        <v>1.0</v>
      </c>
      <c r="G29" s="4">
        <v>3.0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8841593.05</v>
      </c>
      <c r="P29" s="10"/>
      <c r="Q29" s="10"/>
    </row>
    <row r="30" spans="1:19">
      <c r="A30" s="6">
        <v>7</v>
      </c>
      <c r="B30" s="4">
        <v>3</v>
      </c>
      <c r="C30" s="4">
        <v>1</v>
      </c>
      <c r="D30" s="4">
        <v>12</v>
      </c>
      <c r="E30" s="4">
        <v>8.0</v>
      </c>
      <c r="F30" s="4">
        <v>1.0</v>
      </c>
      <c r="G30" s="4">
        <v>3.0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>
        <v>4</v>
      </c>
      <c r="C31" s="4">
        <v>1</v>
      </c>
      <c r="D31" s="4">
        <v>12</v>
      </c>
      <c r="E31" s="4">
        <v>8.0</v>
      </c>
      <c r="F31" s="4">
        <v>1.0</v>
      </c>
      <c r="G31" s="4">
        <v>3.0</v>
      </c>
      <c r="H31" s="4">
        <v>0.0</v>
      </c>
      <c r="I31" s="4">
        <v>0.0</v>
      </c>
      <c r="K31" s="10" t="s">
        <v>50</v>
      </c>
      <c r="L31" s="10"/>
      <c r="M31" s="28" t="s">
        <v>134</v>
      </c>
      <c r="N31" s="28" t="s">
        <v>165</v>
      </c>
      <c r="O31" s="25">
        <f>ROUNDDOWN(-(88415.00),0)</f>
        <v>-88415</v>
      </c>
      <c r="P31" s="10"/>
      <c r="Q31" s="10"/>
    </row>
    <row r="32" spans="1:19">
      <c r="A32" s="6">
        <v>9</v>
      </c>
      <c r="B32" s="4">
        <v>5</v>
      </c>
      <c r="C32" s="4">
        <v>1</v>
      </c>
      <c r="D32" s="4">
        <v>12</v>
      </c>
      <c r="E32" s="4">
        <v>8.0</v>
      </c>
      <c r="F32" s="4">
        <v>1.0</v>
      </c>
      <c r="G32" s="4">
        <v>3.0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>
        <v>6</v>
      </c>
      <c r="C33" s="4">
        <v>1</v>
      </c>
      <c r="D33" s="4">
        <v>12</v>
      </c>
      <c r="E33" s="4">
        <v>8.0</v>
      </c>
      <c r="F33" s="4">
        <v>1.0</v>
      </c>
      <c r="G33" s="4">
        <v>3.0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>
        <v>1</v>
      </c>
      <c r="C35" s="4">
        <v>1</v>
      </c>
      <c r="D35" s="4">
        <v>12</v>
      </c>
      <c r="E35" s="4">
        <v>8.0</v>
      </c>
      <c r="F35" s="4">
        <v>1.0</v>
      </c>
      <c r="G35" s="4">
        <v>3.0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 t="s">
        <v>39</v>
      </c>
      <c r="C37" s="4">
        <v>0</v>
      </c>
      <c r="D37" s="4">
        <v>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8413115.0</v>
      </c>
      <c r="P37" s="10"/>
      <c r="Q37" s="10"/>
    </row>
    <row r="38" spans="1:19">
      <c r="A38" s="6">
        <v>15</v>
      </c>
      <c r="B38" s="4">
        <v>1</v>
      </c>
      <c r="C38" s="4">
        <v>1</v>
      </c>
      <c r="D38" s="4">
        <v>12</v>
      </c>
      <c r="E38" s="4">
        <v>8.0</v>
      </c>
      <c r="F38" s="4">
        <v>1.0</v>
      </c>
      <c r="G38" s="4">
        <v>3.0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26</v>
      </c>
      <c r="D39" s="9">
        <v>312</v>
      </c>
      <c r="E39" s="9">
        <v>208.0</v>
      </c>
      <c r="F39" s="9">
        <v>26.0</v>
      </c>
      <c r="G39" s="9">
        <v>78.0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104.0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-15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8413100.0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355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361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362</v>
      </c>
      <c r="N4" s="10" t="s">
        <v>5</v>
      </c>
      <c r="O4" s="10">
        <v>251100051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68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69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363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 t="s">
        <v>39</v>
      </c>
      <c r="C9" s="4">
        <v>0</v>
      </c>
      <c r="D9" s="4">
        <v>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2540311.0</v>
      </c>
      <c r="P9" s="10"/>
      <c r="Q9" s="10"/>
    </row>
    <row r="10" spans="1:19">
      <c r="A10" s="6">
        <v>17</v>
      </c>
      <c r="B10" s="4" t="s">
        <v>39</v>
      </c>
      <c r="C10" s="4">
        <v>0</v>
      </c>
      <c r="D10" s="4">
        <v>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K10" s="10" t="s">
        <v>27</v>
      </c>
      <c r="L10" s="10"/>
      <c r="M10" s="25" t="s">
        <v>268</v>
      </c>
      <c r="N10" s="25">
        <v>440516.32</v>
      </c>
      <c r="O10" s="25"/>
      <c r="P10" s="10"/>
      <c r="Q10" s="10"/>
    </row>
    <row r="11" spans="1:19">
      <c r="A11" s="6">
        <v>18</v>
      </c>
      <c r="B11" s="4" t="s">
        <v>39</v>
      </c>
      <c r="C11" s="4">
        <v>0</v>
      </c>
      <c r="D11" s="4">
        <v>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K11" s="10" t="s">
        <v>29</v>
      </c>
      <c r="L11" s="10"/>
      <c r="M11" s="25" t="s">
        <v>269</v>
      </c>
      <c r="N11" s="25">
        <v>1762065.26</v>
      </c>
      <c r="O11" s="25"/>
      <c r="P11" s="10"/>
      <c r="Q11" s="10"/>
    </row>
    <row r="12" spans="1:19">
      <c r="A12" s="6">
        <v>19</v>
      </c>
      <c r="B12" s="4" t="s">
        <v>39</v>
      </c>
      <c r="C12" s="4">
        <v>0</v>
      </c>
      <c r="D12" s="4">
        <v>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 t="s">
        <v>39</v>
      </c>
      <c r="C13" s="4">
        <v>0</v>
      </c>
      <c r="D13" s="4">
        <v>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>
        <v>1</v>
      </c>
      <c r="C14" s="4">
        <v>1</v>
      </c>
      <c r="D14" s="4">
        <v>12</v>
      </c>
      <c r="E14" s="4">
        <v>8.0</v>
      </c>
      <c r="F14" s="4">
        <v>1.0</v>
      </c>
      <c r="G14" s="4">
        <v>3.0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2202582.0</v>
      </c>
      <c r="P14" s="10"/>
      <c r="Q14" s="10"/>
    </row>
    <row r="15" spans="1:19">
      <c r="A15" s="6">
        <v>22</v>
      </c>
      <c r="B15" s="4">
        <v>2</v>
      </c>
      <c r="C15" s="4">
        <v>1</v>
      </c>
      <c r="D15" s="4">
        <v>12</v>
      </c>
      <c r="E15" s="4">
        <v>8.0</v>
      </c>
      <c r="F15" s="4">
        <v>1.0</v>
      </c>
      <c r="G15" s="4">
        <v>3.0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>
        <v>3</v>
      </c>
      <c r="C16" s="4">
        <v>1</v>
      </c>
      <c r="D16" s="4">
        <v>12</v>
      </c>
      <c r="E16" s="4">
        <v>8.0</v>
      </c>
      <c r="F16" s="4">
        <v>1.0</v>
      </c>
      <c r="G16" s="4">
        <v>3.0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>
        <v>4</v>
      </c>
      <c r="C17" s="4">
        <v>1</v>
      </c>
      <c r="D17" s="4">
        <v>12</v>
      </c>
      <c r="E17" s="4">
        <v>8.0</v>
      </c>
      <c r="F17" s="4">
        <v>1.0</v>
      </c>
      <c r="G17" s="4">
        <v>3.0</v>
      </c>
      <c r="H17" s="4">
        <v>0.0</v>
      </c>
      <c r="I17" s="4">
        <v>0.0</v>
      </c>
      <c r="K17" s="10" t="s">
        <v>36</v>
      </c>
      <c r="L17" s="10"/>
      <c r="M17" s="27" t="s">
        <v>270</v>
      </c>
      <c r="N17" s="25">
        <v>90000</v>
      </c>
      <c r="O17" s="25"/>
      <c r="P17" s="10"/>
      <c r="Q17" s="10"/>
    </row>
    <row r="18" spans="1:19">
      <c r="A18" s="6">
        <v>25</v>
      </c>
      <c r="B18" s="4">
        <v>5</v>
      </c>
      <c r="C18" s="4">
        <v>1</v>
      </c>
      <c r="D18" s="4">
        <v>12</v>
      </c>
      <c r="E18" s="4">
        <v>8.0</v>
      </c>
      <c r="F18" s="4">
        <v>1.0</v>
      </c>
      <c r="G18" s="4">
        <v>3.0</v>
      </c>
      <c r="H18" s="4">
        <v>0.0</v>
      </c>
      <c r="I18" s="4">
        <v>0.0</v>
      </c>
      <c r="K18" s="10" t="s">
        <v>38</v>
      </c>
      <c r="L18" s="10"/>
      <c r="M18" s="27" t="s">
        <v>270</v>
      </c>
      <c r="N18" s="25">
        <v>150000</v>
      </c>
      <c r="O18" s="25"/>
      <c r="P18" s="10"/>
      <c r="Q18" s="10"/>
    </row>
    <row r="19" spans="1:19">
      <c r="A19" s="6">
        <v>26</v>
      </c>
      <c r="B19" s="4">
        <v>6</v>
      </c>
      <c r="C19" s="4">
        <v>1</v>
      </c>
      <c r="D19" s="4">
        <v>12</v>
      </c>
      <c r="E19" s="4">
        <v>8.0</v>
      </c>
      <c r="F19" s="4">
        <v>1.0</v>
      </c>
      <c r="G19" s="4">
        <v>3.0</v>
      </c>
      <c r="H19" s="4">
        <v>0.0</v>
      </c>
      <c r="I19" s="4">
        <v>0.0</v>
      </c>
      <c r="K19" s="10" t="s">
        <v>40</v>
      </c>
      <c r="L19" s="10"/>
      <c r="M19" s="27" t="s">
        <v>80</v>
      </c>
      <c r="N19" s="25">
        <v>0</v>
      </c>
      <c r="O19" s="25"/>
      <c r="P19" s="10"/>
      <c r="Q19" s="10"/>
    </row>
    <row r="20" spans="1:19">
      <c r="A20" s="6">
        <v>27</v>
      </c>
      <c r="B20" s="4">
        <v>7</v>
      </c>
      <c r="C20" s="4">
        <v>1</v>
      </c>
      <c r="D20" s="4">
        <v>12</v>
      </c>
      <c r="E20" s="4">
        <v>8.0</v>
      </c>
      <c r="F20" s="4">
        <v>1.0</v>
      </c>
      <c r="G20" s="4">
        <v>3.0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>
        <v>8</v>
      </c>
      <c r="C21" s="4">
        <v>1</v>
      </c>
      <c r="D21" s="4">
        <v>12</v>
      </c>
      <c r="E21" s="4">
        <v>8.0</v>
      </c>
      <c r="F21" s="4">
        <v>1.0</v>
      </c>
      <c r="G21" s="4">
        <v>3.0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>
        <v>9</v>
      </c>
      <c r="C22" s="4">
        <v>1</v>
      </c>
      <c r="D22" s="4">
        <v>12</v>
      </c>
      <c r="E22" s="4">
        <v>8.0</v>
      </c>
      <c r="F22" s="4">
        <v>1.0</v>
      </c>
      <c r="G22" s="4">
        <v>3.0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240000</v>
      </c>
      <c r="P22" s="10"/>
      <c r="Q22" s="10"/>
    </row>
    <row r="23" spans="1:19">
      <c r="A23" s="6">
        <v>30</v>
      </c>
      <c r="B23" s="4">
        <v>1</v>
      </c>
      <c r="C23" s="4">
        <v>1</v>
      </c>
      <c r="D23" s="4">
        <v>12</v>
      </c>
      <c r="E23" s="4">
        <v>8.0</v>
      </c>
      <c r="F23" s="4">
        <v>1.0</v>
      </c>
      <c r="G23" s="4">
        <v>3.0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>
        <v>2</v>
      </c>
      <c r="C24" s="4">
        <v>1</v>
      </c>
      <c r="D24" s="4">
        <v>12</v>
      </c>
      <c r="E24" s="4">
        <v>8.0</v>
      </c>
      <c r="F24" s="4">
        <v>1.0</v>
      </c>
      <c r="G24" s="4">
        <v>3.0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 t="s">
        <v>39</v>
      </c>
      <c r="C25" s="4">
        <v>0</v>
      </c>
      <c r="D25" s="4">
        <v>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 t="s">
        <v>39</v>
      </c>
      <c r="C26" s="4">
        <v>0</v>
      </c>
      <c r="D26" s="4">
        <v>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 t="s">
        <v>39</v>
      </c>
      <c r="C27" s="4">
        <v>0</v>
      </c>
      <c r="D27" s="4">
        <v>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 t="s">
        <v>39</v>
      </c>
      <c r="C28" s="4">
        <v>0</v>
      </c>
      <c r="D28" s="4">
        <v>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 t="s">
        <v>39</v>
      </c>
      <c r="C29" s="4">
        <v>0</v>
      </c>
      <c r="D29" s="4">
        <v>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5187472.02</v>
      </c>
      <c r="P29" s="10"/>
      <c r="Q29" s="10"/>
    </row>
    <row r="30" spans="1:19">
      <c r="A30" s="6">
        <v>7</v>
      </c>
      <c r="B30" s="4" t="s">
        <v>39</v>
      </c>
      <c r="C30" s="4">
        <v>0</v>
      </c>
      <c r="D30" s="4">
        <v>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75</v>
      </c>
      <c r="N31" s="28" t="s">
        <v>52</v>
      </c>
      <c r="O31" s="25">
        <f>ROUNDDOWN(-(0.00),0)</f>
        <v>0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>
        <v>1</v>
      </c>
      <c r="C35" s="4">
        <v>1</v>
      </c>
      <c r="D35" s="4">
        <v>12</v>
      </c>
      <c r="E35" s="4">
        <v>8.0</v>
      </c>
      <c r="F35" s="4">
        <v>1.0</v>
      </c>
      <c r="G35" s="4">
        <v>3.0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>
        <v>2</v>
      </c>
      <c r="C36" s="4">
        <v>1</v>
      </c>
      <c r="D36" s="4">
        <v>12</v>
      </c>
      <c r="E36" s="4">
        <v>8.0</v>
      </c>
      <c r="F36" s="4">
        <v>1.0</v>
      </c>
      <c r="G36" s="4">
        <v>3.0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>
        <v>3</v>
      </c>
      <c r="C37" s="4">
        <v>1</v>
      </c>
      <c r="D37" s="4">
        <v>12</v>
      </c>
      <c r="E37" s="4">
        <v>8.0</v>
      </c>
      <c r="F37" s="4">
        <v>1.0</v>
      </c>
      <c r="G37" s="4">
        <v>3.0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4847409.0</v>
      </c>
      <c r="P37" s="10"/>
      <c r="Q37" s="10"/>
    </row>
    <row r="38" spans="1:19">
      <c r="A38" s="6">
        <v>15</v>
      </c>
      <c r="B38" s="4">
        <v>4</v>
      </c>
      <c r="C38" s="4">
        <v>1</v>
      </c>
      <c r="D38" s="4">
        <v>12</v>
      </c>
      <c r="E38" s="4">
        <v>8.0</v>
      </c>
      <c r="F38" s="4">
        <v>1.0</v>
      </c>
      <c r="G38" s="4">
        <v>3.0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15</v>
      </c>
      <c r="D39" s="9">
        <v>180</v>
      </c>
      <c r="E39" s="9">
        <v>120.0</v>
      </c>
      <c r="F39" s="9">
        <v>15.0</v>
      </c>
      <c r="G39" s="9">
        <v>45.0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60.0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-9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4847400.0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362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364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365</v>
      </c>
      <c r="N4" s="10" t="s">
        <v>5</v>
      </c>
      <c r="O4" s="10">
        <v>251100058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83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19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366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 t="s">
        <v>39</v>
      </c>
      <c r="C9" s="4">
        <v>0</v>
      </c>
      <c r="D9" s="4">
        <v>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1185478.0</v>
      </c>
      <c r="P9" s="10"/>
      <c r="Q9" s="10"/>
    </row>
    <row r="10" spans="1:19">
      <c r="A10" s="6">
        <v>17</v>
      </c>
      <c r="B10" s="4" t="s">
        <v>39</v>
      </c>
      <c r="C10" s="4">
        <v>0</v>
      </c>
      <c r="D10" s="4">
        <v>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K10" s="10" t="s">
        <v>27</v>
      </c>
      <c r="L10" s="10"/>
      <c r="M10" s="25" t="s">
        <v>238</v>
      </c>
      <c r="N10" s="25">
        <v>205574.28</v>
      </c>
      <c r="O10" s="25"/>
      <c r="P10" s="10"/>
      <c r="Q10" s="10"/>
    </row>
    <row r="11" spans="1:19">
      <c r="A11" s="6">
        <v>18</v>
      </c>
      <c r="B11" s="4">
        <v>1</v>
      </c>
      <c r="C11" s="4">
        <v>1</v>
      </c>
      <c r="D11" s="4">
        <v>12</v>
      </c>
      <c r="E11" s="4">
        <v>8.0</v>
      </c>
      <c r="F11" s="4">
        <v>1.0</v>
      </c>
      <c r="G11" s="4">
        <v>3.0</v>
      </c>
      <c r="H11" s="4">
        <v>0.0</v>
      </c>
      <c r="I11" s="4">
        <v>0.0</v>
      </c>
      <c r="K11" s="10" t="s">
        <v>29</v>
      </c>
      <c r="L11" s="10"/>
      <c r="M11" s="25" t="s">
        <v>239</v>
      </c>
      <c r="N11" s="25">
        <v>822297.12</v>
      </c>
      <c r="O11" s="25"/>
      <c r="P11" s="10"/>
      <c r="Q11" s="10"/>
    </row>
    <row r="12" spans="1:19">
      <c r="A12" s="6">
        <v>19</v>
      </c>
      <c r="B12" s="4">
        <v>2</v>
      </c>
      <c r="C12" s="4">
        <v>1</v>
      </c>
      <c r="D12" s="4">
        <v>12</v>
      </c>
      <c r="E12" s="4">
        <v>8.0</v>
      </c>
      <c r="F12" s="4">
        <v>1.0</v>
      </c>
      <c r="G12" s="4">
        <v>3.0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>
        <v>3</v>
      </c>
      <c r="C13" s="4">
        <v>1</v>
      </c>
      <c r="D13" s="4">
        <v>12</v>
      </c>
      <c r="E13" s="4">
        <v>8.0</v>
      </c>
      <c r="F13" s="4">
        <v>1.0</v>
      </c>
      <c r="G13" s="4">
        <v>3.0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>
        <v>4</v>
      </c>
      <c r="C14" s="4">
        <v>1</v>
      </c>
      <c r="D14" s="4">
        <v>12</v>
      </c>
      <c r="E14" s="4">
        <v>8.0</v>
      </c>
      <c r="F14" s="4">
        <v>1.0</v>
      </c>
      <c r="G14" s="4">
        <v>3.0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1027871.0</v>
      </c>
      <c r="P14" s="10"/>
      <c r="Q14" s="10"/>
    </row>
    <row r="15" spans="1:19">
      <c r="A15" s="6">
        <v>22</v>
      </c>
      <c r="B15" s="4">
        <v>5</v>
      </c>
      <c r="C15" s="4">
        <v>1</v>
      </c>
      <c r="D15" s="4">
        <v>12</v>
      </c>
      <c r="E15" s="4">
        <v>8.0</v>
      </c>
      <c r="F15" s="4">
        <v>1.0</v>
      </c>
      <c r="G15" s="4">
        <v>3.0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>
        <v>6</v>
      </c>
      <c r="C16" s="4">
        <v>1</v>
      </c>
      <c r="D16" s="4">
        <v>12</v>
      </c>
      <c r="E16" s="4">
        <v>8.0</v>
      </c>
      <c r="F16" s="4">
        <v>1.0</v>
      </c>
      <c r="G16" s="4">
        <v>3.0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>
        <v>7</v>
      </c>
      <c r="C17" s="4">
        <v>1</v>
      </c>
      <c r="D17" s="4">
        <v>12</v>
      </c>
      <c r="E17" s="4">
        <v>8.0</v>
      </c>
      <c r="F17" s="4">
        <v>1.0</v>
      </c>
      <c r="G17" s="4">
        <v>3.0</v>
      </c>
      <c r="H17" s="4">
        <v>0.0</v>
      </c>
      <c r="I17" s="4">
        <v>0.0</v>
      </c>
      <c r="K17" s="10" t="s">
        <v>36</v>
      </c>
      <c r="L17" s="10"/>
      <c r="M17" s="27" t="s">
        <v>152</v>
      </c>
      <c r="N17" s="25">
        <v>42000</v>
      </c>
      <c r="O17" s="25"/>
      <c r="P17" s="10"/>
      <c r="Q17" s="10"/>
    </row>
    <row r="18" spans="1:19">
      <c r="A18" s="6">
        <v>25</v>
      </c>
      <c r="B18" s="4" t="s">
        <v>39</v>
      </c>
      <c r="C18" s="4">
        <v>0</v>
      </c>
      <c r="D18" s="4">
        <v>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K18" s="10" t="s">
        <v>38</v>
      </c>
      <c r="L18" s="10"/>
      <c r="M18" s="27" t="s">
        <v>152</v>
      </c>
      <c r="N18" s="25">
        <v>70000</v>
      </c>
      <c r="O18" s="25"/>
      <c r="P18" s="10"/>
      <c r="Q18" s="10"/>
    </row>
    <row r="19" spans="1:19">
      <c r="A19" s="6">
        <v>26</v>
      </c>
      <c r="B19" s="4" t="s">
        <v>39</v>
      </c>
      <c r="C19" s="4">
        <v>0</v>
      </c>
      <c r="D19" s="4">
        <v>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K19" s="10" t="s">
        <v>40</v>
      </c>
      <c r="L19" s="10"/>
      <c r="M19" s="27" t="s">
        <v>80</v>
      </c>
      <c r="N19" s="25">
        <v>0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 t="s">
        <v>39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 t="s">
        <v>39</v>
      </c>
      <c r="C22" s="4">
        <v>0</v>
      </c>
      <c r="D22" s="4">
        <v>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112000</v>
      </c>
      <c r="P22" s="10"/>
      <c r="Q22" s="10"/>
    </row>
    <row r="23" spans="1:19">
      <c r="A23" s="6">
        <v>30</v>
      </c>
      <c r="B23" s="4" t="s">
        <v>39</v>
      </c>
      <c r="C23" s="4">
        <v>0</v>
      </c>
      <c r="D23" s="4">
        <v>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 t="s">
        <v>39</v>
      </c>
      <c r="C24" s="4">
        <v>0</v>
      </c>
      <c r="D24" s="4">
        <v>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 t="s">
        <v>39</v>
      </c>
      <c r="C25" s="4">
        <v>0</v>
      </c>
      <c r="D25" s="4">
        <v>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 t="s">
        <v>39</v>
      </c>
      <c r="C26" s="4">
        <v>0</v>
      </c>
      <c r="D26" s="4">
        <v>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 t="s">
        <v>39</v>
      </c>
      <c r="C27" s="4">
        <v>0</v>
      </c>
      <c r="D27" s="4">
        <v>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 t="s">
        <v>39</v>
      </c>
      <c r="C28" s="4">
        <v>0</v>
      </c>
      <c r="D28" s="4">
        <v>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 t="s">
        <v>39</v>
      </c>
      <c r="C29" s="4">
        <v>0</v>
      </c>
      <c r="D29" s="4">
        <v>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2529929.44</v>
      </c>
      <c r="P29" s="10"/>
      <c r="Q29" s="10"/>
    </row>
    <row r="30" spans="1:19">
      <c r="A30" s="6">
        <v>7</v>
      </c>
      <c r="B30" s="4" t="s">
        <v>39</v>
      </c>
      <c r="C30" s="4">
        <v>0</v>
      </c>
      <c r="D30" s="4">
        <v>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51</v>
      </c>
      <c r="N31" s="28" t="s">
        <v>52</v>
      </c>
      <c r="O31" s="25">
        <f>ROUNDDOWN(-(0.00),0)</f>
        <v>0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39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 t="s">
        <v>39</v>
      </c>
      <c r="C37" s="4">
        <v>0</v>
      </c>
      <c r="D37" s="4">
        <v>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2189867.0</v>
      </c>
      <c r="P37" s="10"/>
      <c r="Q37" s="10"/>
    </row>
    <row r="38" spans="1:19">
      <c r="A38" s="6">
        <v>15</v>
      </c>
      <c r="B38" s="4" t="s">
        <v>39</v>
      </c>
      <c r="C38" s="4">
        <v>0</v>
      </c>
      <c r="D38" s="4">
        <v>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7</v>
      </c>
      <c r="D39" s="9">
        <v>84</v>
      </c>
      <c r="E39" s="9">
        <v>56.0</v>
      </c>
      <c r="F39" s="9">
        <v>7.0</v>
      </c>
      <c r="G39" s="9">
        <v>21.0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28.0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33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2189900.0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365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367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368</v>
      </c>
      <c r="N4" s="10" t="s">
        <v>5</v>
      </c>
      <c r="O4" s="10">
        <v>251200007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369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78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370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 t="s">
        <v>39</v>
      </c>
      <c r="C9" s="4">
        <v>0</v>
      </c>
      <c r="D9" s="4">
        <v>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1016124.0</v>
      </c>
      <c r="P9" s="10"/>
      <c r="Q9" s="10"/>
    </row>
    <row r="10" spans="1:19">
      <c r="A10" s="6">
        <v>17</v>
      </c>
      <c r="B10" s="4" t="s">
        <v>39</v>
      </c>
      <c r="C10" s="4">
        <v>0</v>
      </c>
      <c r="D10" s="4">
        <v>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K10" s="10" t="s">
        <v>27</v>
      </c>
      <c r="L10" s="10"/>
      <c r="M10" s="25" t="s">
        <v>194</v>
      </c>
      <c r="N10" s="25">
        <v>176206.53</v>
      </c>
      <c r="O10" s="25"/>
      <c r="P10" s="10"/>
      <c r="Q10" s="10"/>
    </row>
    <row r="11" spans="1:19">
      <c r="A11" s="6">
        <v>18</v>
      </c>
      <c r="B11" s="4" t="s">
        <v>39</v>
      </c>
      <c r="C11" s="4">
        <v>0</v>
      </c>
      <c r="D11" s="4">
        <v>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K11" s="10" t="s">
        <v>29</v>
      </c>
      <c r="L11" s="10"/>
      <c r="M11" s="25" t="s">
        <v>195</v>
      </c>
      <c r="N11" s="25">
        <v>704826.1</v>
      </c>
      <c r="O11" s="25"/>
      <c r="P11" s="10"/>
      <c r="Q11" s="10"/>
    </row>
    <row r="12" spans="1:19">
      <c r="A12" s="6">
        <v>19</v>
      </c>
      <c r="B12" s="4" t="s">
        <v>39</v>
      </c>
      <c r="C12" s="4">
        <v>0</v>
      </c>
      <c r="D12" s="4">
        <v>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 t="s">
        <v>39</v>
      </c>
      <c r="C13" s="4">
        <v>0</v>
      </c>
      <c r="D13" s="4">
        <v>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 t="s">
        <v>39</v>
      </c>
      <c r="C14" s="4">
        <v>0</v>
      </c>
      <c r="D14" s="4">
        <v>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881033.0</v>
      </c>
      <c r="P14" s="10"/>
      <c r="Q14" s="10"/>
    </row>
    <row r="15" spans="1:19">
      <c r="A15" s="6">
        <v>22</v>
      </c>
      <c r="B15" s="4" t="s">
        <v>39</v>
      </c>
      <c r="C15" s="4">
        <v>0</v>
      </c>
      <c r="D15" s="4">
        <v>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 t="s">
        <v>39</v>
      </c>
      <c r="C16" s="4">
        <v>0</v>
      </c>
      <c r="D16" s="4">
        <v>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 t="s">
        <v>39</v>
      </c>
      <c r="C17" s="4">
        <v>0</v>
      </c>
      <c r="D17" s="4">
        <v>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K17" s="10" t="s">
        <v>36</v>
      </c>
      <c r="L17" s="10"/>
      <c r="M17" s="27" t="s">
        <v>196</v>
      </c>
      <c r="N17" s="25">
        <v>36000</v>
      </c>
      <c r="O17" s="25"/>
      <c r="P17" s="10"/>
      <c r="Q17" s="10"/>
    </row>
    <row r="18" spans="1:19">
      <c r="A18" s="6">
        <v>25</v>
      </c>
      <c r="B18" s="4" t="s">
        <v>39</v>
      </c>
      <c r="C18" s="4">
        <v>0</v>
      </c>
      <c r="D18" s="4">
        <v>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K18" s="10" t="s">
        <v>38</v>
      </c>
      <c r="L18" s="10"/>
      <c r="M18" s="27" t="s">
        <v>196</v>
      </c>
      <c r="N18" s="25">
        <v>60000</v>
      </c>
      <c r="O18" s="25"/>
      <c r="P18" s="10"/>
      <c r="Q18" s="10"/>
    </row>
    <row r="19" spans="1:19">
      <c r="A19" s="6">
        <v>26</v>
      </c>
      <c r="B19" s="4" t="s">
        <v>39</v>
      </c>
      <c r="C19" s="4">
        <v>0</v>
      </c>
      <c r="D19" s="4">
        <v>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K19" s="10" t="s">
        <v>40</v>
      </c>
      <c r="L19" s="10"/>
      <c r="M19" s="27" t="s">
        <v>80</v>
      </c>
      <c r="N19" s="25">
        <v>0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 t="s">
        <v>39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 t="s">
        <v>39</v>
      </c>
      <c r="C22" s="4">
        <v>0</v>
      </c>
      <c r="D22" s="4">
        <v>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96000</v>
      </c>
      <c r="P22" s="10"/>
      <c r="Q22" s="10"/>
    </row>
    <row r="23" spans="1:19">
      <c r="A23" s="6">
        <v>30</v>
      </c>
      <c r="B23" s="4" t="s">
        <v>39</v>
      </c>
      <c r="C23" s="4">
        <v>0</v>
      </c>
      <c r="D23" s="4">
        <v>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 t="s">
        <v>39</v>
      </c>
      <c r="C24" s="4">
        <v>0</v>
      </c>
      <c r="D24" s="4">
        <v>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 t="s">
        <v>39</v>
      </c>
      <c r="C25" s="4">
        <v>0</v>
      </c>
      <c r="D25" s="4">
        <v>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 t="s">
        <v>39</v>
      </c>
      <c r="C26" s="4">
        <v>0</v>
      </c>
      <c r="D26" s="4">
        <v>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 t="s">
        <v>39</v>
      </c>
      <c r="C27" s="4">
        <v>0</v>
      </c>
      <c r="D27" s="4">
        <v>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 t="s">
        <v>39</v>
      </c>
      <c r="C28" s="4">
        <v>0</v>
      </c>
      <c r="D28" s="4">
        <v>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 t="s">
        <v>39</v>
      </c>
      <c r="C29" s="4">
        <v>0</v>
      </c>
      <c r="D29" s="4">
        <v>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2197736.62</v>
      </c>
      <c r="P29" s="10"/>
      <c r="Q29" s="10"/>
    </row>
    <row r="30" spans="1:19">
      <c r="A30" s="6">
        <v>7</v>
      </c>
      <c r="B30" s="4" t="s">
        <v>39</v>
      </c>
      <c r="C30" s="4">
        <v>0</v>
      </c>
      <c r="D30" s="4">
        <v>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51</v>
      </c>
      <c r="N31" s="28" t="s">
        <v>52</v>
      </c>
      <c r="O31" s="25">
        <f>ROUNDDOWN(-(0.00),0)</f>
        <v>0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>
        <v>1</v>
      </c>
      <c r="C33" s="4">
        <v>1</v>
      </c>
      <c r="D33" s="4">
        <v>12</v>
      </c>
      <c r="E33" s="4">
        <v>8.0</v>
      </c>
      <c r="F33" s="4">
        <v>1.0</v>
      </c>
      <c r="G33" s="4">
        <v>3.0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>
        <v>2</v>
      </c>
      <c r="C34" s="4">
        <v>1</v>
      </c>
      <c r="D34" s="4">
        <v>12</v>
      </c>
      <c r="E34" s="4">
        <v>8.0</v>
      </c>
      <c r="F34" s="4">
        <v>1.0</v>
      </c>
      <c r="G34" s="4">
        <v>3.0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>
        <v>3</v>
      </c>
      <c r="C35" s="4">
        <v>1</v>
      </c>
      <c r="D35" s="4">
        <v>12</v>
      </c>
      <c r="E35" s="4">
        <v>8.0</v>
      </c>
      <c r="F35" s="4">
        <v>1.0</v>
      </c>
      <c r="G35" s="4">
        <v>3.0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>
        <v>4</v>
      </c>
      <c r="C36" s="4">
        <v>1</v>
      </c>
      <c r="D36" s="4">
        <v>12</v>
      </c>
      <c r="E36" s="4">
        <v>8.0</v>
      </c>
      <c r="F36" s="4">
        <v>1.0</v>
      </c>
      <c r="G36" s="4">
        <v>3.0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>
        <v>5</v>
      </c>
      <c r="C37" s="4">
        <v>1</v>
      </c>
      <c r="D37" s="4">
        <v>12</v>
      </c>
      <c r="E37" s="4">
        <v>8.0</v>
      </c>
      <c r="F37" s="4">
        <v>1.0</v>
      </c>
      <c r="G37" s="4">
        <v>3.0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1857674.0</v>
      </c>
      <c r="P37" s="10"/>
      <c r="Q37" s="10"/>
    </row>
    <row r="38" spans="1:19">
      <c r="A38" s="6">
        <v>15</v>
      </c>
      <c r="B38" s="4">
        <v>6</v>
      </c>
      <c r="C38" s="4">
        <v>1</v>
      </c>
      <c r="D38" s="4">
        <v>12</v>
      </c>
      <c r="E38" s="4">
        <v>8.0</v>
      </c>
      <c r="F38" s="4">
        <v>1.0</v>
      </c>
      <c r="G38" s="4">
        <v>3.0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6</v>
      </c>
      <c r="D39" s="9">
        <v>72</v>
      </c>
      <c r="E39" s="9">
        <v>48.0</v>
      </c>
      <c r="F39" s="9">
        <v>6.0</v>
      </c>
      <c r="G39" s="9">
        <v>18.0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24.0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26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1857700.0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368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371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372</v>
      </c>
      <c r="N4" s="10" t="s">
        <v>5</v>
      </c>
      <c r="O4" s="10">
        <v>251100063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83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78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229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>
        <v>1</v>
      </c>
      <c r="C9" s="4">
        <v>1</v>
      </c>
      <c r="D9" s="4">
        <v>12</v>
      </c>
      <c r="E9" s="4">
        <v>8.0</v>
      </c>
      <c r="F9" s="4">
        <v>1.0</v>
      </c>
      <c r="G9" s="4">
        <v>3.0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3217727.0</v>
      </c>
      <c r="P9" s="10"/>
      <c r="Q9" s="10"/>
    </row>
    <row r="10" spans="1:19">
      <c r="A10" s="6">
        <v>17</v>
      </c>
      <c r="B10" s="4">
        <v>2</v>
      </c>
      <c r="C10" s="4">
        <v>1</v>
      </c>
      <c r="D10" s="4">
        <v>12</v>
      </c>
      <c r="E10" s="4">
        <v>8.0</v>
      </c>
      <c r="F10" s="4">
        <v>1.0</v>
      </c>
      <c r="G10" s="4">
        <v>3.0</v>
      </c>
      <c r="H10" s="4">
        <v>0.0</v>
      </c>
      <c r="I10" s="4">
        <v>0.0</v>
      </c>
      <c r="K10" s="10" t="s">
        <v>27</v>
      </c>
      <c r="L10" s="10"/>
      <c r="M10" s="25" t="s">
        <v>230</v>
      </c>
      <c r="N10" s="25">
        <v>557987.33</v>
      </c>
      <c r="O10" s="25"/>
      <c r="P10" s="10"/>
      <c r="Q10" s="10"/>
    </row>
    <row r="11" spans="1:19">
      <c r="A11" s="6">
        <v>18</v>
      </c>
      <c r="B11" s="4">
        <v>3</v>
      </c>
      <c r="C11" s="4">
        <v>1</v>
      </c>
      <c r="D11" s="4">
        <v>12</v>
      </c>
      <c r="E11" s="4">
        <v>8.0</v>
      </c>
      <c r="F11" s="4">
        <v>1.0</v>
      </c>
      <c r="G11" s="4">
        <v>3.0</v>
      </c>
      <c r="H11" s="4">
        <v>0.0</v>
      </c>
      <c r="I11" s="4">
        <v>0.0</v>
      </c>
      <c r="K11" s="10" t="s">
        <v>29</v>
      </c>
      <c r="L11" s="10"/>
      <c r="M11" s="25" t="s">
        <v>231</v>
      </c>
      <c r="N11" s="25">
        <v>2231949.33</v>
      </c>
      <c r="O11" s="25"/>
      <c r="P11" s="10"/>
      <c r="Q11" s="10"/>
    </row>
    <row r="12" spans="1:19">
      <c r="A12" s="6">
        <v>19</v>
      </c>
      <c r="B12" s="4">
        <v>4</v>
      </c>
      <c r="C12" s="4">
        <v>1</v>
      </c>
      <c r="D12" s="4">
        <v>12</v>
      </c>
      <c r="E12" s="4">
        <v>8.0</v>
      </c>
      <c r="F12" s="4">
        <v>1.0</v>
      </c>
      <c r="G12" s="4">
        <v>3.0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>
        <v>5</v>
      </c>
      <c r="C13" s="4">
        <v>1</v>
      </c>
      <c r="D13" s="4">
        <v>12</v>
      </c>
      <c r="E13" s="4">
        <v>8.0</v>
      </c>
      <c r="F13" s="4">
        <v>1.0</v>
      </c>
      <c r="G13" s="4">
        <v>3.0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>
        <v>6</v>
      </c>
      <c r="C14" s="4">
        <v>1</v>
      </c>
      <c r="D14" s="4">
        <v>12</v>
      </c>
      <c r="E14" s="4">
        <v>8.0</v>
      </c>
      <c r="F14" s="4">
        <v>1.0</v>
      </c>
      <c r="G14" s="4">
        <v>3.0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2789937.0</v>
      </c>
      <c r="P14" s="10"/>
      <c r="Q14" s="10"/>
    </row>
    <row r="15" spans="1:19">
      <c r="A15" s="6">
        <v>22</v>
      </c>
      <c r="B15" s="4">
        <v>7</v>
      </c>
      <c r="C15" s="4">
        <v>1</v>
      </c>
      <c r="D15" s="4">
        <v>12</v>
      </c>
      <c r="E15" s="4">
        <v>8.0</v>
      </c>
      <c r="F15" s="4">
        <v>1.0</v>
      </c>
      <c r="G15" s="4">
        <v>3.0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>
        <v>8</v>
      </c>
      <c r="C16" s="4">
        <v>1</v>
      </c>
      <c r="D16" s="4">
        <v>12</v>
      </c>
      <c r="E16" s="4">
        <v>8.0</v>
      </c>
      <c r="F16" s="4">
        <v>1.0</v>
      </c>
      <c r="G16" s="4">
        <v>3.0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>
        <v>9</v>
      </c>
      <c r="C17" s="4">
        <v>1</v>
      </c>
      <c r="D17" s="4">
        <v>12</v>
      </c>
      <c r="E17" s="4">
        <v>8.0</v>
      </c>
      <c r="F17" s="4">
        <v>1.0</v>
      </c>
      <c r="G17" s="4">
        <v>3.0</v>
      </c>
      <c r="H17" s="4">
        <v>0.0</v>
      </c>
      <c r="I17" s="4">
        <v>0.0</v>
      </c>
      <c r="K17" s="10" t="s">
        <v>36</v>
      </c>
      <c r="L17" s="10"/>
      <c r="M17" s="27" t="s">
        <v>211</v>
      </c>
      <c r="N17" s="25">
        <v>114000</v>
      </c>
      <c r="O17" s="25"/>
      <c r="P17" s="10"/>
      <c r="Q17" s="10"/>
    </row>
    <row r="18" spans="1:19">
      <c r="A18" s="6">
        <v>25</v>
      </c>
      <c r="B18" s="4">
        <v>1</v>
      </c>
      <c r="C18" s="4">
        <v>1</v>
      </c>
      <c r="D18" s="4">
        <v>12</v>
      </c>
      <c r="E18" s="4">
        <v>8.0</v>
      </c>
      <c r="F18" s="4">
        <v>1.0</v>
      </c>
      <c r="G18" s="4">
        <v>3.0</v>
      </c>
      <c r="H18" s="4">
        <v>0.0</v>
      </c>
      <c r="I18" s="4">
        <v>0.0</v>
      </c>
      <c r="K18" s="10" t="s">
        <v>38</v>
      </c>
      <c r="L18" s="10"/>
      <c r="M18" s="27" t="s">
        <v>211</v>
      </c>
      <c r="N18" s="25">
        <v>190000</v>
      </c>
      <c r="O18" s="25"/>
      <c r="P18" s="10"/>
      <c r="Q18" s="10"/>
    </row>
    <row r="19" spans="1:19">
      <c r="A19" s="6">
        <v>26</v>
      </c>
      <c r="B19" s="4">
        <v>2</v>
      </c>
      <c r="C19" s="4">
        <v>1</v>
      </c>
      <c r="D19" s="4">
        <v>12</v>
      </c>
      <c r="E19" s="4">
        <v>8.0</v>
      </c>
      <c r="F19" s="4">
        <v>1.0</v>
      </c>
      <c r="G19" s="4">
        <v>3.0</v>
      </c>
      <c r="H19" s="4">
        <v>0.0</v>
      </c>
      <c r="I19" s="4">
        <v>0.0</v>
      </c>
      <c r="K19" s="10" t="s">
        <v>40</v>
      </c>
      <c r="L19" s="10"/>
      <c r="M19" s="27" t="s">
        <v>80</v>
      </c>
      <c r="N19" s="25">
        <v>0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 t="s">
        <v>39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 t="s">
        <v>39</v>
      </c>
      <c r="C22" s="4">
        <v>0</v>
      </c>
      <c r="D22" s="4">
        <v>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304000</v>
      </c>
      <c r="P22" s="10"/>
      <c r="Q22" s="10"/>
    </row>
    <row r="23" spans="1:19">
      <c r="A23" s="6">
        <v>30</v>
      </c>
      <c r="B23" s="4">
        <v>1</v>
      </c>
      <c r="C23" s="4">
        <v>1</v>
      </c>
      <c r="D23" s="4">
        <v>12</v>
      </c>
      <c r="E23" s="4">
        <v>8.0</v>
      </c>
      <c r="F23" s="4">
        <v>1.0</v>
      </c>
      <c r="G23" s="4">
        <v>3.0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>
        <v>2</v>
      </c>
      <c r="C24" s="4">
        <v>1</v>
      </c>
      <c r="D24" s="4">
        <v>12</v>
      </c>
      <c r="E24" s="4">
        <v>8.0</v>
      </c>
      <c r="F24" s="4">
        <v>1.0</v>
      </c>
      <c r="G24" s="4">
        <v>3.0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>
        <v>3</v>
      </c>
      <c r="C25" s="4">
        <v>1</v>
      </c>
      <c r="D25" s="4">
        <v>12</v>
      </c>
      <c r="E25" s="4">
        <v>8.0</v>
      </c>
      <c r="F25" s="4">
        <v>1.0</v>
      </c>
      <c r="G25" s="4">
        <v>3.0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>
        <v>4</v>
      </c>
      <c r="C26" s="4">
        <v>1</v>
      </c>
      <c r="D26" s="4">
        <v>12</v>
      </c>
      <c r="E26" s="4">
        <v>8.0</v>
      </c>
      <c r="F26" s="4">
        <v>1.0</v>
      </c>
      <c r="G26" s="4">
        <v>3.0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>
        <v>5</v>
      </c>
      <c r="C27" s="4">
        <v>1</v>
      </c>
      <c r="D27" s="4">
        <v>12</v>
      </c>
      <c r="E27" s="4">
        <v>8.0</v>
      </c>
      <c r="F27" s="4">
        <v>1.0</v>
      </c>
      <c r="G27" s="4">
        <v>3.0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>
        <v>6</v>
      </c>
      <c r="C28" s="4">
        <v>1</v>
      </c>
      <c r="D28" s="4">
        <v>12</v>
      </c>
      <c r="E28" s="4">
        <v>8.0</v>
      </c>
      <c r="F28" s="4">
        <v>1.0</v>
      </c>
      <c r="G28" s="4">
        <v>3.0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>
        <v>7</v>
      </c>
      <c r="C29" s="4">
        <v>1</v>
      </c>
      <c r="D29" s="4">
        <v>12</v>
      </c>
      <c r="E29" s="4">
        <v>8.0</v>
      </c>
      <c r="F29" s="4">
        <v>1.0</v>
      </c>
      <c r="G29" s="4">
        <v>3.0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6516243.3</v>
      </c>
      <c r="P29" s="10"/>
      <c r="Q29" s="10"/>
    </row>
    <row r="30" spans="1:19">
      <c r="A30" s="6">
        <v>7</v>
      </c>
      <c r="B30" s="4">
        <v>8</v>
      </c>
      <c r="C30" s="4">
        <v>1</v>
      </c>
      <c r="D30" s="4">
        <v>12</v>
      </c>
      <c r="E30" s="4">
        <v>8.0</v>
      </c>
      <c r="F30" s="4">
        <v>1.0</v>
      </c>
      <c r="G30" s="4">
        <v>3.0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51</v>
      </c>
      <c r="N31" s="28" t="s">
        <v>165</v>
      </c>
      <c r="O31" s="25">
        <f>ROUNDDOWN(-(65162.00),0)</f>
        <v>-65162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39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 t="s">
        <v>39</v>
      </c>
      <c r="C37" s="4">
        <v>0</v>
      </c>
      <c r="D37" s="4">
        <v>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6111018.0</v>
      </c>
      <c r="P37" s="10"/>
      <c r="Q37" s="10"/>
    </row>
    <row r="38" spans="1:19">
      <c r="A38" s="6">
        <v>15</v>
      </c>
      <c r="B38" s="4" t="s">
        <v>39</v>
      </c>
      <c r="C38" s="4">
        <v>0</v>
      </c>
      <c r="D38" s="4">
        <v>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19</v>
      </c>
      <c r="D39" s="9">
        <v>228</v>
      </c>
      <c r="E39" s="9">
        <v>152.0</v>
      </c>
      <c r="F39" s="9">
        <v>19.0</v>
      </c>
      <c r="G39" s="9">
        <v>57.0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76.0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-18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6111000.0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372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373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374</v>
      </c>
      <c r="N4" s="10" t="s">
        <v>5</v>
      </c>
      <c r="O4" s="10">
        <v>251100021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286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128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375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>
        <v>1</v>
      </c>
      <c r="C9" s="4">
        <v>1</v>
      </c>
      <c r="D9" s="4">
        <v>12</v>
      </c>
      <c r="E9" s="4">
        <v>8.0</v>
      </c>
      <c r="F9" s="4">
        <v>1.0</v>
      </c>
      <c r="G9" s="4">
        <v>3.0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2709665.0</v>
      </c>
      <c r="P9" s="10"/>
      <c r="Q9" s="10"/>
    </row>
    <row r="10" spans="1:19">
      <c r="A10" s="6">
        <v>17</v>
      </c>
      <c r="B10" s="4">
        <v>2</v>
      </c>
      <c r="C10" s="4">
        <v>1</v>
      </c>
      <c r="D10" s="4">
        <v>12</v>
      </c>
      <c r="E10" s="4">
        <v>8.0</v>
      </c>
      <c r="F10" s="4">
        <v>1.0</v>
      </c>
      <c r="G10" s="4">
        <v>3.0</v>
      </c>
      <c r="H10" s="4">
        <v>0.0</v>
      </c>
      <c r="I10" s="4">
        <v>0.0</v>
      </c>
      <c r="K10" s="10" t="s">
        <v>27</v>
      </c>
      <c r="L10" s="10"/>
      <c r="M10" s="25" t="s">
        <v>123</v>
      </c>
      <c r="N10" s="25">
        <v>469884.07</v>
      </c>
      <c r="O10" s="25"/>
      <c r="P10" s="10"/>
      <c r="Q10" s="10"/>
    </row>
    <row r="11" spans="1:19">
      <c r="A11" s="6">
        <v>18</v>
      </c>
      <c r="B11" s="4">
        <v>3</v>
      </c>
      <c r="C11" s="4">
        <v>1</v>
      </c>
      <c r="D11" s="4">
        <v>12</v>
      </c>
      <c r="E11" s="4">
        <v>8.0</v>
      </c>
      <c r="F11" s="4">
        <v>1.0</v>
      </c>
      <c r="G11" s="4">
        <v>3.0</v>
      </c>
      <c r="H11" s="4">
        <v>0.0</v>
      </c>
      <c r="I11" s="4">
        <v>0.0</v>
      </c>
      <c r="K11" s="10" t="s">
        <v>29</v>
      </c>
      <c r="L11" s="10"/>
      <c r="M11" s="25" t="s">
        <v>353</v>
      </c>
      <c r="N11" s="25">
        <v>1879536.28</v>
      </c>
      <c r="O11" s="25"/>
      <c r="P11" s="10"/>
      <c r="Q11" s="10"/>
    </row>
    <row r="12" spans="1:19">
      <c r="A12" s="6">
        <v>19</v>
      </c>
      <c r="B12" s="4">
        <v>4</v>
      </c>
      <c r="C12" s="4">
        <v>1</v>
      </c>
      <c r="D12" s="4">
        <v>12</v>
      </c>
      <c r="E12" s="4">
        <v>8.0</v>
      </c>
      <c r="F12" s="4">
        <v>1.0</v>
      </c>
      <c r="G12" s="4">
        <v>3.0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>
        <v>5</v>
      </c>
      <c r="C13" s="4">
        <v>1</v>
      </c>
      <c r="D13" s="4">
        <v>12</v>
      </c>
      <c r="E13" s="4">
        <v>8.0</v>
      </c>
      <c r="F13" s="4">
        <v>1.0</v>
      </c>
      <c r="G13" s="4">
        <v>3.0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>
        <v>6</v>
      </c>
      <c r="C14" s="4">
        <v>1</v>
      </c>
      <c r="D14" s="4">
        <v>12</v>
      </c>
      <c r="E14" s="4">
        <v>8.0</v>
      </c>
      <c r="F14" s="4">
        <v>1.0</v>
      </c>
      <c r="G14" s="4">
        <v>3.0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2349420.0</v>
      </c>
      <c r="P14" s="10"/>
      <c r="Q14" s="10"/>
    </row>
    <row r="15" spans="1:19">
      <c r="A15" s="6">
        <v>22</v>
      </c>
      <c r="B15" s="4">
        <v>7</v>
      </c>
      <c r="C15" s="4">
        <v>1</v>
      </c>
      <c r="D15" s="4">
        <v>12</v>
      </c>
      <c r="E15" s="4">
        <v>8.0</v>
      </c>
      <c r="F15" s="4">
        <v>1.0</v>
      </c>
      <c r="G15" s="4">
        <v>3.0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>
        <v>8</v>
      </c>
      <c r="C16" s="4">
        <v>1</v>
      </c>
      <c r="D16" s="4">
        <v>12</v>
      </c>
      <c r="E16" s="4">
        <v>8.0</v>
      </c>
      <c r="F16" s="4">
        <v>1.0</v>
      </c>
      <c r="G16" s="4">
        <v>3.0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>
        <v>9</v>
      </c>
      <c r="C17" s="4">
        <v>1</v>
      </c>
      <c r="D17" s="4">
        <v>12</v>
      </c>
      <c r="E17" s="4">
        <v>8.0</v>
      </c>
      <c r="F17" s="4">
        <v>1.0</v>
      </c>
      <c r="G17" s="4">
        <v>3.0</v>
      </c>
      <c r="H17" s="4">
        <v>0.0</v>
      </c>
      <c r="I17" s="4">
        <v>0.0</v>
      </c>
      <c r="K17" s="10" t="s">
        <v>36</v>
      </c>
      <c r="L17" s="10"/>
      <c r="M17" s="27" t="s">
        <v>125</v>
      </c>
      <c r="N17" s="25">
        <v>96000</v>
      </c>
      <c r="O17" s="25"/>
      <c r="P17" s="10"/>
      <c r="Q17" s="10"/>
    </row>
    <row r="18" spans="1:19">
      <c r="A18" s="6">
        <v>25</v>
      </c>
      <c r="B18" s="4">
        <v>1</v>
      </c>
      <c r="C18" s="4">
        <v>1</v>
      </c>
      <c r="D18" s="4">
        <v>12</v>
      </c>
      <c r="E18" s="4">
        <v>8.0</v>
      </c>
      <c r="F18" s="4">
        <v>1.0</v>
      </c>
      <c r="G18" s="4">
        <v>3.0</v>
      </c>
      <c r="H18" s="4">
        <v>0.0</v>
      </c>
      <c r="I18" s="4">
        <v>0.0</v>
      </c>
      <c r="K18" s="10" t="s">
        <v>38</v>
      </c>
      <c r="L18" s="10"/>
      <c r="M18" s="27" t="s">
        <v>125</v>
      </c>
      <c r="N18" s="25">
        <v>160000</v>
      </c>
      <c r="O18" s="25"/>
      <c r="P18" s="10"/>
      <c r="Q18" s="10"/>
    </row>
    <row r="19" spans="1:19">
      <c r="A19" s="6">
        <v>26</v>
      </c>
      <c r="B19" s="4">
        <v>2</v>
      </c>
      <c r="C19" s="4">
        <v>1</v>
      </c>
      <c r="D19" s="4">
        <v>12</v>
      </c>
      <c r="E19" s="4">
        <v>8.0</v>
      </c>
      <c r="F19" s="4">
        <v>1.0</v>
      </c>
      <c r="G19" s="4">
        <v>3.0</v>
      </c>
      <c r="H19" s="4">
        <v>0.0</v>
      </c>
      <c r="I19" s="4">
        <v>0.0</v>
      </c>
      <c r="K19" s="10" t="s">
        <v>40</v>
      </c>
      <c r="L19" s="10"/>
      <c r="M19" s="27" t="s">
        <v>80</v>
      </c>
      <c r="N19" s="25">
        <v>0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 t="s">
        <v>39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>
        <v>1</v>
      </c>
      <c r="C22" s="4">
        <v>1</v>
      </c>
      <c r="D22" s="4">
        <v>12</v>
      </c>
      <c r="E22" s="4">
        <v>8.0</v>
      </c>
      <c r="F22" s="4">
        <v>1.0</v>
      </c>
      <c r="G22" s="4">
        <v>3.0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256000</v>
      </c>
      <c r="P22" s="10"/>
      <c r="Q22" s="10"/>
    </row>
    <row r="23" spans="1:19">
      <c r="A23" s="6">
        <v>30</v>
      </c>
      <c r="B23" s="4">
        <v>2</v>
      </c>
      <c r="C23" s="4">
        <v>1</v>
      </c>
      <c r="D23" s="4">
        <v>12</v>
      </c>
      <c r="E23" s="4">
        <v>8.0</v>
      </c>
      <c r="F23" s="4">
        <v>1.0</v>
      </c>
      <c r="G23" s="4">
        <v>3.0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>
        <v>3</v>
      </c>
      <c r="C24" s="4">
        <v>1</v>
      </c>
      <c r="D24" s="4">
        <v>12</v>
      </c>
      <c r="E24" s="4">
        <v>8.0</v>
      </c>
      <c r="F24" s="4">
        <v>1.0</v>
      </c>
      <c r="G24" s="4">
        <v>3.0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 t="s">
        <v>39</v>
      </c>
      <c r="C25" s="4">
        <v>0</v>
      </c>
      <c r="D25" s="4">
        <v>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 t="s">
        <v>39</v>
      </c>
      <c r="C26" s="4">
        <v>0</v>
      </c>
      <c r="D26" s="4">
        <v>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>
        <v>1</v>
      </c>
      <c r="C27" s="4">
        <v>1</v>
      </c>
      <c r="D27" s="4">
        <v>12</v>
      </c>
      <c r="E27" s="4">
        <v>8.0</v>
      </c>
      <c r="F27" s="4">
        <v>1.0</v>
      </c>
      <c r="G27" s="4">
        <v>3.0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 t="s">
        <v>39</v>
      </c>
      <c r="C28" s="4">
        <v>0</v>
      </c>
      <c r="D28" s="4">
        <v>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 t="s">
        <v>39</v>
      </c>
      <c r="C29" s="4">
        <v>0</v>
      </c>
      <c r="D29" s="4">
        <v>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5519664.84</v>
      </c>
      <c r="P29" s="10"/>
      <c r="Q29" s="10"/>
    </row>
    <row r="30" spans="1:19">
      <c r="A30" s="6">
        <v>7</v>
      </c>
      <c r="B30" s="4" t="s">
        <v>39</v>
      </c>
      <c r="C30" s="4">
        <v>0</v>
      </c>
      <c r="D30" s="4">
        <v>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134</v>
      </c>
      <c r="N31" s="28" t="s">
        <v>52</v>
      </c>
      <c r="O31" s="25">
        <f>ROUNDDOWN(-(0.00),0)</f>
        <v>0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39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>
        <v>1</v>
      </c>
      <c r="C37" s="4">
        <v>1</v>
      </c>
      <c r="D37" s="4">
        <v>12</v>
      </c>
      <c r="E37" s="4">
        <v>8.0</v>
      </c>
      <c r="F37" s="4">
        <v>1.0</v>
      </c>
      <c r="G37" s="4">
        <v>3.0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5179602.0</v>
      </c>
      <c r="P37" s="10"/>
      <c r="Q37" s="10"/>
    </row>
    <row r="38" spans="1:19">
      <c r="A38" s="6">
        <v>15</v>
      </c>
      <c r="B38" s="4" t="s">
        <v>39</v>
      </c>
      <c r="C38" s="4">
        <v>0</v>
      </c>
      <c r="D38" s="4">
        <v>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16</v>
      </c>
      <c r="D39" s="9">
        <v>192</v>
      </c>
      <c r="E39" s="9">
        <v>128.0</v>
      </c>
      <c r="F39" s="9">
        <v>16.0</v>
      </c>
      <c r="G39" s="9">
        <v>48.0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64.0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-2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5179600.0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374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376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377</v>
      </c>
      <c r="N4" s="10" t="s">
        <v>5</v>
      </c>
      <c r="O4" s="10">
        <v>251100065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83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19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378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>
        <v>1</v>
      </c>
      <c r="C9" s="4">
        <v>1</v>
      </c>
      <c r="D9" s="4">
        <v>12</v>
      </c>
      <c r="E9" s="4">
        <v>8.0</v>
      </c>
      <c r="F9" s="4">
        <v>1.0</v>
      </c>
      <c r="G9" s="4">
        <v>3.0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1862895.0</v>
      </c>
      <c r="P9" s="10"/>
      <c r="Q9" s="10"/>
    </row>
    <row r="10" spans="1:19">
      <c r="A10" s="6">
        <v>17</v>
      </c>
      <c r="B10" s="4">
        <v>2</v>
      </c>
      <c r="C10" s="4">
        <v>1</v>
      </c>
      <c r="D10" s="4">
        <v>12</v>
      </c>
      <c r="E10" s="4">
        <v>8.0</v>
      </c>
      <c r="F10" s="4">
        <v>1.0</v>
      </c>
      <c r="G10" s="4">
        <v>3.0</v>
      </c>
      <c r="H10" s="4">
        <v>0.0</v>
      </c>
      <c r="I10" s="4">
        <v>0.0</v>
      </c>
      <c r="K10" s="10" t="s">
        <v>27</v>
      </c>
      <c r="L10" s="10"/>
      <c r="M10" s="25" t="s">
        <v>216</v>
      </c>
      <c r="N10" s="25">
        <v>323045.3</v>
      </c>
      <c r="O10" s="25"/>
      <c r="P10" s="10"/>
      <c r="Q10" s="10"/>
    </row>
    <row r="11" spans="1:19">
      <c r="A11" s="6">
        <v>18</v>
      </c>
      <c r="B11" s="4" t="s">
        <v>39</v>
      </c>
      <c r="C11" s="4">
        <v>0</v>
      </c>
      <c r="D11" s="4">
        <v>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K11" s="10" t="s">
        <v>29</v>
      </c>
      <c r="L11" s="10"/>
      <c r="M11" s="25" t="s">
        <v>217</v>
      </c>
      <c r="N11" s="25">
        <v>1292181.19</v>
      </c>
      <c r="O11" s="25"/>
      <c r="P11" s="10"/>
      <c r="Q11" s="10"/>
    </row>
    <row r="12" spans="1:19">
      <c r="A12" s="6">
        <v>19</v>
      </c>
      <c r="B12" s="4" t="s">
        <v>39</v>
      </c>
      <c r="C12" s="4">
        <v>0</v>
      </c>
      <c r="D12" s="4">
        <v>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 t="s">
        <v>39</v>
      </c>
      <c r="C13" s="4">
        <v>0</v>
      </c>
      <c r="D13" s="4">
        <v>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 t="s">
        <v>39</v>
      </c>
      <c r="C14" s="4">
        <v>0</v>
      </c>
      <c r="D14" s="4">
        <v>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1615226.0</v>
      </c>
      <c r="P14" s="10"/>
      <c r="Q14" s="10"/>
    </row>
    <row r="15" spans="1:19">
      <c r="A15" s="6">
        <v>22</v>
      </c>
      <c r="B15" s="4" t="s">
        <v>39</v>
      </c>
      <c r="C15" s="4">
        <v>0</v>
      </c>
      <c r="D15" s="4">
        <v>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 t="s">
        <v>39</v>
      </c>
      <c r="C16" s="4">
        <v>0</v>
      </c>
      <c r="D16" s="4">
        <v>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>
        <v>1</v>
      </c>
      <c r="C17" s="4" t="s">
        <v>25</v>
      </c>
      <c r="D17" s="4">
        <v>12</v>
      </c>
      <c r="E17" s="4">
        <v>8.0</v>
      </c>
      <c r="F17" s="4">
        <v>1.0</v>
      </c>
      <c r="G17" s="4">
        <v>3.0</v>
      </c>
      <c r="H17" s="4">
        <v>0.0</v>
      </c>
      <c r="I17" s="4">
        <v>0.0</v>
      </c>
      <c r="K17" s="10" t="s">
        <v>36</v>
      </c>
      <c r="L17" s="10"/>
      <c r="M17" s="27" t="s">
        <v>74</v>
      </c>
      <c r="N17" s="25">
        <v>66000</v>
      </c>
      <c r="O17" s="25"/>
      <c r="P17" s="10"/>
      <c r="Q17" s="10"/>
    </row>
    <row r="18" spans="1:19">
      <c r="A18" s="6">
        <v>25</v>
      </c>
      <c r="B18" s="4">
        <v>2</v>
      </c>
      <c r="C18" s="4" t="s">
        <v>25</v>
      </c>
      <c r="D18" s="4">
        <v>12</v>
      </c>
      <c r="E18" s="4">
        <v>8.0</v>
      </c>
      <c r="F18" s="4">
        <v>1.0</v>
      </c>
      <c r="G18" s="4">
        <v>3.0</v>
      </c>
      <c r="H18" s="4">
        <v>0.0</v>
      </c>
      <c r="I18" s="4">
        <v>0.0</v>
      </c>
      <c r="K18" s="10" t="s">
        <v>38</v>
      </c>
      <c r="L18" s="10"/>
      <c r="M18" s="27" t="s">
        <v>74</v>
      </c>
      <c r="N18" s="25">
        <v>110000</v>
      </c>
      <c r="O18" s="25"/>
      <c r="P18" s="10"/>
      <c r="Q18" s="10"/>
    </row>
    <row r="19" spans="1:19">
      <c r="A19" s="6">
        <v>26</v>
      </c>
      <c r="B19" s="4" t="s">
        <v>39</v>
      </c>
      <c r="C19" s="4">
        <v>0</v>
      </c>
      <c r="D19" s="4">
        <v>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K19" s="10" t="s">
        <v>40</v>
      </c>
      <c r="L19" s="10"/>
      <c r="M19" s="27" t="s">
        <v>151</v>
      </c>
      <c r="N19" s="25">
        <v>228628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 t="s">
        <v>39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 t="s">
        <v>39</v>
      </c>
      <c r="C22" s="4">
        <v>0</v>
      </c>
      <c r="D22" s="4">
        <v>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404628</v>
      </c>
      <c r="P22" s="10"/>
      <c r="Q22" s="10"/>
    </row>
    <row r="23" spans="1:19">
      <c r="A23" s="6">
        <v>30</v>
      </c>
      <c r="B23" s="4">
        <v>1</v>
      </c>
      <c r="C23" s="4" t="s">
        <v>25</v>
      </c>
      <c r="D23" s="4">
        <v>12</v>
      </c>
      <c r="E23" s="4">
        <v>8.0</v>
      </c>
      <c r="F23" s="4">
        <v>1.0</v>
      </c>
      <c r="G23" s="4">
        <v>3.0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>
        <v>2</v>
      </c>
      <c r="C24" s="4" t="s">
        <v>25</v>
      </c>
      <c r="D24" s="4">
        <v>12</v>
      </c>
      <c r="E24" s="4">
        <v>8.0</v>
      </c>
      <c r="F24" s="4">
        <v>1.0</v>
      </c>
      <c r="G24" s="4">
        <v>3.0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>
        <v>3</v>
      </c>
      <c r="C25" s="4" t="s">
        <v>25</v>
      </c>
      <c r="D25" s="4">
        <v>12</v>
      </c>
      <c r="E25" s="4">
        <v>8.0</v>
      </c>
      <c r="F25" s="4">
        <v>1.0</v>
      </c>
      <c r="G25" s="4">
        <v>3.0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>
        <v>4</v>
      </c>
      <c r="C26" s="4" t="s">
        <v>25</v>
      </c>
      <c r="D26" s="4">
        <v>12</v>
      </c>
      <c r="E26" s="4">
        <v>8.0</v>
      </c>
      <c r="F26" s="4">
        <v>1.0</v>
      </c>
      <c r="G26" s="4">
        <v>3.0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>
        <v>5</v>
      </c>
      <c r="C27" s="4" t="s">
        <v>25</v>
      </c>
      <c r="D27" s="4">
        <v>12</v>
      </c>
      <c r="E27" s="4">
        <v>8.0</v>
      </c>
      <c r="F27" s="4">
        <v>1.0</v>
      </c>
      <c r="G27" s="4">
        <v>3.0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>
        <v>6</v>
      </c>
      <c r="C28" s="4" t="s">
        <v>25</v>
      </c>
      <c r="D28" s="4">
        <v>12</v>
      </c>
      <c r="E28" s="4">
        <v>8.0</v>
      </c>
      <c r="F28" s="4">
        <v>1.0</v>
      </c>
      <c r="G28" s="4">
        <v>3.0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>
        <v>7</v>
      </c>
      <c r="C29" s="4" t="s">
        <v>25</v>
      </c>
      <c r="D29" s="4">
        <v>12</v>
      </c>
      <c r="E29" s="4">
        <v>8.0</v>
      </c>
      <c r="F29" s="4">
        <v>1.0</v>
      </c>
      <c r="G29" s="4">
        <v>3.0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4087328.73</v>
      </c>
      <c r="P29" s="10"/>
      <c r="Q29" s="10"/>
    </row>
    <row r="30" spans="1:19">
      <c r="A30" s="6">
        <v>7</v>
      </c>
      <c r="B30" s="4" t="s">
        <v>39</v>
      </c>
      <c r="C30" s="4">
        <v>0</v>
      </c>
      <c r="D30" s="4">
        <v>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51</v>
      </c>
      <c r="N31" s="28" t="s">
        <v>52</v>
      </c>
      <c r="O31" s="25">
        <f>ROUNDDOWN(-(0.00),0)</f>
        <v>0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39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 t="s">
        <v>39</v>
      </c>
      <c r="C37" s="4">
        <v>0</v>
      </c>
      <c r="D37" s="4">
        <v>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3747266.0</v>
      </c>
      <c r="P37" s="10"/>
      <c r="Q37" s="10"/>
    </row>
    <row r="38" spans="1:19">
      <c r="A38" s="6">
        <v>15</v>
      </c>
      <c r="B38" s="4" t="s">
        <v>39</v>
      </c>
      <c r="C38" s="4">
        <v>0</v>
      </c>
      <c r="D38" s="4">
        <v>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11</v>
      </c>
      <c r="D39" s="9">
        <v>132</v>
      </c>
      <c r="E39" s="9">
        <v>88.0</v>
      </c>
      <c r="F39" s="9">
        <v>11.0</v>
      </c>
      <c r="G39" s="9">
        <v>33.0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44.0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34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3747300.0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377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379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1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380</v>
      </c>
      <c r="N4" s="10" t="s">
        <v>5</v>
      </c>
      <c r="O4" s="10">
        <v>251100083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189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128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381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 t="s">
        <v>39</v>
      </c>
      <c r="C9" s="4">
        <v>0</v>
      </c>
      <c r="D9" s="4">
        <v>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3217727.0</v>
      </c>
      <c r="P9" s="10"/>
      <c r="Q9" s="10"/>
    </row>
    <row r="10" spans="1:19">
      <c r="A10" s="6">
        <v>17</v>
      </c>
      <c r="B10" s="4">
        <v>1</v>
      </c>
      <c r="C10" s="4" t="s">
        <v>25</v>
      </c>
      <c r="D10" s="4">
        <v>12</v>
      </c>
      <c r="E10" s="4">
        <v>8.0</v>
      </c>
      <c r="F10" s="4">
        <v>1.0</v>
      </c>
      <c r="G10" s="4">
        <v>3.0</v>
      </c>
      <c r="H10" s="4">
        <v>0.0</v>
      </c>
      <c r="I10" s="4">
        <v>0.0</v>
      </c>
      <c r="K10" s="10" t="s">
        <v>27</v>
      </c>
      <c r="L10" s="10"/>
      <c r="M10" s="25" t="s">
        <v>230</v>
      </c>
      <c r="N10" s="25">
        <v>557987.33</v>
      </c>
      <c r="O10" s="25"/>
      <c r="P10" s="10"/>
      <c r="Q10" s="10"/>
    </row>
    <row r="11" spans="1:19">
      <c r="A11" s="6">
        <v>18</v>
      </c>
      <c r="B11" s="4">
        <v>2</v>
      </c>
      <c r="C11" s="4" t="s">
        <v>25</v>
      </c>
      <c r="D11" s="4">
        <v>12</v>
      </c>
      <c r="E11" s="4">
        <v>8.0</v>
      </c>
      <c r="F11" s="4">
        <v>1.0</v>
      </c>
      <c r="G11" s="4">
        <v>3.0</v>
      </c>
      <c r="H11" s="4">
        <v>0.0</v>
      </c>
      <c r="I11" s="4">
        <v>0.0</v>
      </c>
      <c r="K11" s="10" t="s">
        <v>29</v>
      </c>
      <c r="L11" s="10"/>
      <c r="M11" s="25" t="s">
        <v>231</v>
      </c>
      <c r="N11" s="25">
        <v>2231949.33</v>
      </c>
      <c r="O11" s="25"/>
      <c r="P11" s="10"/>
      <c r="Q11" s="10"/>
    </row>
    <row r="12" spans="1:19">
      <c r="A12" s="6">
        <v>19</v>
      </c>
      <c r="B12" s="4">
        <v>3</v>
      </c>
      <c r="C12" s="4" t="s">
        <v>25</v>
      </c>
      <c r="D12" s="4">
        <v>12</v>
      </c>
      <c r="E12" s="4">
        <v>8.0</v>
      </c>
      <c r="F12" s="4">
        <v>1.0</v>
      </c>
      <c r="G12" s="4">
        <v>3.0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>
        <v>4</v>
      </c>
      <c r="C13" s="4" t="s">
        <v>25</v>
      </c>
      <c r="D13" s="4">
        <v>12</v>
      </c>
      <c r="E13" s="4">
        <v>8.0</v>
      </c>
      <c r="F13" s="4">
        <v>1.0</v>
      </c>
      <c r="G13" s="4">
        <v>3.0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 t="s">
        <v>39</v>
      </c>
      <c r="C14" s="4">
        <v>0</v>
      </c>
      <c r="D14" s="4">
        <v>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2789937.0</v>
      </c>
      <c r="P14" s="10"/>
      <c r="Q14" s="10"/>
    </row>
    <row r="15" spans="1:19">
      <c r="A15" s="6">
        <v>22</v>
      </c>
      <c r="B15" s="4">
        <v>1</v>
      </c>
      <c r="C15" s="4">
        <v>1</v>
      </c>
      <c r="D15" s="4">
        <v>12</v>
      </c>
      <c r="E15" s="4">
        <v>8.0</v>
      </c>
      <c r="F15" s="4">
        <v>1.0</v>
      </c>
      <c r="G15" s="4">
        <v>3.0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>
        <v>2</v>
      </c>
      <c r="C16" s="4">
        <v>1</v>
      </c>
      <c r="D16" s="4">
        <v>12</v>
      </c>
      <c r="E16" s="4">
        <v>8.0</v>
      </c>
      <c r="F16" s="4">
        <v>1.0</v>
      </c>
      <c r="G16" s="4">
        <v>3.0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>
        <v>3</v>
      </c>
      <c r="C17" s="4">
        <v>1</v>
      </c>
      <c r="D17" s="4">
        <v>12</v>
      </c>
      <c r="E17" s="4">
        <v>8.0</v>
      </c>
      <c r="F17" s="4">
        <v>1.0</v>
      </c>
      <c r="G17" s="4">
        <v>3.0</v>
      </c>
      <c r="H17" s="4">
        <v>0.0</v>
      </c>
      <c r="I17" s="4">
        <v>0.0</v>
      </c>
      <c r="K17" s="10" t="s">
        <v>36</v>
      </c>
      <c r="L17" s="10"/>
      <c r="M17" s="27" t="s">
        <v>211</v>
      </c>
      <c r="N17" s="25">
        <v>114000</v>
      </c>
      <c r="O17" s="25"/>
      <c r="P17" s="10"/>
      <c r="Q17" s="10"/>
    </row>
    <row r="18" spans="1:19">
      <c r="A18" s="6">
        <v>25</v>
      </c>
      <c r="B18" s="4">
        <v>4</v>
      </c>
      <c r="C18" s="4">
        <v>1</v>
      </c>
      <c r="D18" s="4">
        <v>12</v>
      </c>
      <c r="E18" s="4">
        <v>8.0</v>
      </c>
      <c r="F18" s="4">
        <v>1.0</v>
      </c>
      <c r="G18" s="4">
        <v>3.0</v>
      </c>
      <c r="H18" s="4">
        <v>0.0</v>
      </c>
      <c r="I18" s="4">
        <v>0.0</v>
      </c>
      <c r="K18" s="10" t="s">
        <v>38</v>
      </c>
      <c r="L18" s="10"/>
      <c r="M18" s="27" t="s">
        <v>211</v>
      </c>
      <c r="N18" s="25">
        <v>190000</v>
      </c>
      <c r="O18" s="25"/>
      <c r="P18" s="10"/>
      <c r="Q18" s="10"/>
    </row>
    <row r="19" spans="1:19">
      <c r="A19" s="6">
        <v>26</v>
      </c>
      <c r="B19" s="4">
        <v>5</v>
      </c>
      <c r="C19" s="4" t="s">
        <v>25</v>
      </c>
      <c r="D19" s="4">
        <v>12</v>
      </c>
      <c r="E19" s="4">
        <v>8.0</v>
      </c>
      <c r="F19" s="4">
        <v>1.0</v>
      </c>
      <c r="G19" s="4">
        <v>3.0</v>
      </c>
      <c r="H19" s="4">
        <v>0.0</v>
      </c>
      <c r="I19" s="4">
        <v>0.0</v>
      </c>
      <c r="K19" s="10" t="s">
        <v>40</v>
      </c>
      <c r="L19" s="10"/>
      <c r="M19" s="27" t="s">
        <v>151</v>
      </c>
      <c r="N19" s="25">
        <v>228628</v>
      </c>
      <c r="O19" s="25"/>
      <c r="P19" s="10"/>
      <c r="Q19" s="10"/>
    </row>
    <row r="20" spans="1:19">
      <c r="A20" s="6">
        <v>27</v>
      </c>
      <c r="B20" s="4">
        <v>6</v>
      </c>
      <c r="C20" s="4" t="s">
        <v>25</v>
      </c>
      <c r="D20" s="4">
        <v>12</v>
      </c>
      <c r="E20" s="4">
        <v>8.0</v>
      </c>
      <c r="F20" s="4">
        <v>1.0</v>
      </c>
      <c r="G20" s="4">
        <v>3.0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>
        <v>7</v>
      </c>
      <c r="C21" s="4" t="s">
        <v>25</v>
      </c>
      <c r="D21" s="4">
        <v>12</v>
      </c>
      <c r="E21" s="4">
        <v>8.0</v>
      </c>
      <c r="F21" s="4">
        <v>1.0</v>
      </c>
      <c r="G21" s="4">
        <v>3.0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>
        <v>8</v>
      </c>
      <c r="C22" s="4" t="s">
        <v>25</v>
      </c>
      <c r="D22" s="4">
        <v>12</v>
      </c>
      <c r="E22" s="4">
        <v>8.0</v>
      </c>
      <c r="F22" s="4">
        <v>1.0</v>
      </c>
      <c r="G22" s="4">
        <v>3.0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532628</v>
      </c>
      <c r="P22" s="10"/>
      <c r="Q22" s="10"/>
    </row>
    <row r="23" spans="1:19">
      <c r="A23" s="6">
        <v>30</v>
      </c>
      <c r="B23" s="4">
        <v>9</v>
      </c>
      <c r="C23" s="4" t="s">
        <v>25</v>
      </c>
      <c r="D23" s="4">
        <v>12</v>
      </c>
      <c r="E23" s="4">
        <v>8.0</v>
      </c>
      <c r="F23" s="4">
        <v>1.0</v>
      </c>
      <c r="G23" s="4">
        <v>3.0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 t="s">
        <v>39</v>
      </c>
      <c r="C24" s="4">
        <v>0</v>
      </c>
      <c r="D24" s="4">
        <v>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 t="s">
        <v>39</v>
      </c>
      <c r="C25" s="4">
        <v>0</v>
      </c>
      <c r="D25" s="4">
        <v>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 t="s">
        <v>39</v>
      </c>
      <c r="C26" s="4">
        <v>0</v>
      </c>
      <c r="D26" s="4">
        <v>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 t="s">
        <v>39</v>
      </c>
      <c r="C27" s="4">
        <v>0</v>
      </c>
      <c r="D27" s="4">
        <v>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 t="s">
        <v>39</v>
      </c>
      <c r="C28" s="4">
        <v>0</v>
      </c>
      <c r="D28" s="4">
        <v>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 t="s">
        <v>39</v>
      </c>
      <c r="C29" s="4">
        <v>0</v>
      </c>
      <c r="D29" s="4">
        <v>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6744871.3</v>
      </c>
      <c r="P29" s="10"/>
      <c r="Q29" s="10"/>
    </row>
    <row r="30" spans="1:19">
      <c r="A30" s="6">
        <v>7</v>
      </c>
      <c r="B30" s="4" t="s">
        <v>39</v>
      </c>
      <c r="C30" s="4">
        <v>0</v>
      </c>
      <c r="D30" s="4">
        <v>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>
        <v>1</v>
      </c>
      <c r="C31" s="4">
        <v>1</v>
      </c>
      <c r="D31" s="4">
        <v>12</v>
      </c>
      <c r="E31" s="4">
        <v>8.0</v>
      </c>
      <c r="F31" s="4">
        <v>1.0</v>
      </c>
      <c r="G31" s="4">
        <v>3.0</v>
      </c>
      <c r="H31" s="4">
        <v>0.0</v>
      </c>
      <c r="I31" s="4">
        <v>0.0</v>
      </c>
      <c r="K31" s="10" t="s">
        <v>50</v>
      </c>
      <c r="L31" s="10"/>
      <c r="M31" s="28" t="s">
        <v>134</v>
      </c>
      <c r="N31" s="28" t="s">
        <v>186</v>
      </c>
      <c r="O31" s="25">
        <f>ROUNDDOWN(-(16862.00),0)</f>
        <v>-16862</v>
      </c>
      <c r="P31" s="10"/>
      <c r="Q31" s="10"/>
    </row>
    <row r="32" spans="1:19">
      <c r="A32" s="6">
        <v>9</v>
      </c>
      <c r="B32" s="4">
        <v>2</v>
      </c>
      <c r="C32" s="4">
        <v>1</v>
      </c>
      <c r="D32" s="4">
        <v>12</v>
      </c>
      <c r="E32" s="4">
        <v>8.0</v>
      </c>
      <c r="F32" s="4">
        <v>1.0</v>
      </c>
      <c r="G32" s="4">
        <v>3.0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>
        <v>3</v>
      </c>
      <c r="C33" s="4">
        <v>1</v>
      </c>
      <c r="D33" s="4">
        <v>12</v>
      </c>
      <c r="E33" s="4">
        <v>8.0</v>
      </c>
      <c r="F33" s="4">
        <v>1.0</v>
      </c>
      <c r="G33" s="4">
        <v>3.0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>
        <v>4</v>
      </c>
      <c r="C34" s="4">
        <v>1</v>
      </c>
      <c r="D34" s="4">
        <v>12</v>
      </c>
      <c r="E34" s="4">
        <v>8.0</v>
      </c>
      <c r="F34" s="4">
        <v>1.0</v>
      </c>
      <c r="G34" s="4">
        <v>3.0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>
        <v>5</v>
      </c>
      <c r="C35" s="4">
        <v>1</v>
      </c>
      <c r="D35" s="4">
        <v>12</v>
      </c>
      <c r="E35" s="4">
        <v>8.0</v>
      </c>
      <c r="F35" s="4">
        <v>1.0</v>
      </c>
      <c r="G35" s="4">
        <v>3.0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>
        <v>6</v>
      </c>
      <c r="C36" s="4">
        <v>1</v>
      </c>
      <c r="D36" s="4">
        <v>12</v>
      </c>
      <c r="E36" s="4">
        <v>8.0</v>
      </c>
      <c r="F36" s="4">
        <v>1.0</v>
      </c>
      <c r="G36" s="4">
        <v>3.0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 t="s">
        <v>39</v>
      </c>
      <c r="C37" s="4">
        <v>0</v>
      </c>
      <c r="D37" s="4">
        <v>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6387946.0</v>
      </c>
      <c r="P37" s="10"/>
      <c r="Q37" s="10"/>
    </row>
    <row r="38" spans="1:19">
      <c r="A38" s="6">
        <v>15</v>
      </c>
      <c r="B38" s="4" t="s">
        <v>39</v>
      </c>
      <c r="C38" s="4">
        <v>0</v>
      </c>
      <c r="D38" s="4">
        <v>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19</v>
      </c>
      <c r="D39" s="9">
        <v>228</v>
      </c>
      <c r="E39" s="9">
        <v>152.0</v>
      </c>
      <c r="F39" s="9">
        <v>19.0</v>
      </c>
      <c r="G39" s="9">
        <v>57.0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76.0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-46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6387900.0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380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382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75</vt:i4>
      </vt:variant>
    </vt:vector>
  </HeadingPairs>
  <TitlesOfParts>
    <vt:vector size="75" baseType="lpstr">
      <vt:lpstr>Agus Ahir Hasibuan</vt:lpstr>
      <vt:lpstr>Ahmad Fauzi Hasibuan</vt:lpstr>
      <vt:lpstr>Ahmad Juandi Nasution</vt:lpstr>
      <vt:lpstr>Ali Agusran Harahap</vt:lpstr>
      <vt:lpstr>Ali Usron Siregar</vt:lpstr>
      <vt:lpstr>Ali Wardana</vt:lpstr>
      <vt:lpstr>Alihot</vt:lpstr>
      <vt:lpstr>Amin Siregar</vt:lpstr>
      <vt:lpstr>Amir Husin</vt:lpstr>
      <vt:lpstr>Ammar Ansori Panjaitan</vt:lpstr>
      <vt:lpstr>Amoi Sani Samosir</vt:lpstr>
      <vt:lpstr>Amran Nasution</vt:lpstr>
      <vt:lpstr>Andes Putra Tunggal</vt:lpstr>
      <vt:lpstr>Ardiansah Siregar</vt:lpstr>
      <vt:lpstr>Ardiansyah Lubis</vt:lpstr>
      <vt:lpstr>Ardin Sormin</vt:lpstr>
      <vt:lpstr>Arlin Frengki Sihombing</vt:lpstr>
      <vt:lpstr>Arnold</vt:lpstr>
      <vt:lpstr>Berkat Jaya Zebua</vt:lpstr>
      <vt:lpstr>Daud Halomoan</vt:lpstr>
      <vt:lpstr>Dedi Santo Zebua</vt:lpstr>
      <vt:lpstr>Dodi Syaputra</vt:lpstr>
      <vt:lpstr>Doli Saputra Batubara</vt:lpstr>
      <vt:lpstr>Erdianto</vt:lpstr>
      <vt:lpstr>Erwin Syaputra Lubis</vt:lpstr>
      <vt:lpstr>Fauzi Hamonangan Sibuea</vt:lpstr>
      <vt:lpstr>Feri Hidayat</vt:lpstr>
      <vt:lpstr>Heldiansyah Panggabean</vt:lpstr>
      <vt:lpstr>Hendri Fitriadi Sagala</vt:lpstr>
      <vt:lpstr>Hendri Saputra</vt:lpstr>
      <vt:lpstr>Heri Hamjah</vt:lpstr>
      <vt:lpstr>Ikhwan Amin Pardede</vt:lpstr>
      <vt:lpstr>Ismail Sihombing</vt:lpstr>
      <vt:lpstr>Jamaluddin Pane</vt:lpstr>
      <vt:lpstr>Jumalin</vt:lpstr>
      <vt:lpstr>Khoirul Anwar Siregar</vt:lpstr>
      <vt:lpstr>Magrib Efendi Batu Bara</vt:lpstr>
      <vt:lpstr>Mandala Putra Hasibuan</vt:lpstr>
      <vt:lpstr>Marali Tua Simanungkalit</vt:lpstr>
      <vt:lpstr>Mardianto Rambe</vt:lpstr>
      <vt:lpstr>Mardiyanto</vt:lpstr>
      <vt:lpstr>Maria Simatupang</vt:lpstr>
      <vt:lpstr>Marlinus Waruhu</vt:lpstr>
      <vt:lpstr>Marwan Efendi</vt:lpstr>
      <vt:lpstr>Masriadi Galingging</vt:lpstr>
      <vt:lpstr>Miserrianus</vt:lpstr>
      <vt:lpstr>Muhammad Febrian Kosasih</vt:lpstr>
      <vt:lpstr>Muhammad Ifan</vt:lpstr>
      <vt:lpstr>Muhammad Rizal Siregar</vt:lpstr>
      <vt:lpstr>Muliadi</vt:lpstr>
      <vt:lpstr>Pardamean Lubis</vt:lpstr>
      <vt:lpstr>Rahmad Diki Harahap</vt:lpstr>
      <vt:lpstr>Rahmadsyah Siregar</vt:lpstr>
      <vt:lpstr>Redi Robert Siahaan</vt:lpstr>
      <vt:lpstr>Ridoan Siregar</vt:lpstr>
      <vt:lpstr>Riduwan Nainggolan</vt:lpstr>
      <vt:lpstr>Rito Siregar</vt:lpstr>
      <vt:lpstr>Ronaldo Simamora</vt:lpstr>
      <vt:lpstr>Ruth Lamey Marlina Pasaribu</vt:lpstr>
      <vt:lpstr>Sabarudin Pohan</vt:lpstr>
      <vt:lpstr>Saedar Mulia Lubis</vt:lpstr>
      <vt:lpstr>Sahlan Harahap</vt:lpstr>
      <vt:lpstr>Saut Halomoan Rambe</vt:lpstr>
      <vt:lpstr>Saut Pardamean Pulungan</vt:lpstr>
      <vt:lpstr>Stepan Dearmon Zebua</vt:lpstr>
      <vt:lpstr>Suar Efendi</vt:lpstr>
      <vt:lpstr>Suparmin</vt:lpstr>
      <vt:lpstr>Surya Agustus Silalahi</vt:lpstr>
      <vt:lpstr>Triadi Saputra</vt:lpstr>
      <vt:lpstr>Viki Candra Siregar</vt:lpstr>
      <vt:lpstr>Wahyudi</vt:lpstr>
      <vt:lpstr>Wahyudi Amanda</vt:lpstr>
      <vt:lpstr>Welda Herman Lubis</vt:lpstr>
      <vt:lpstr>Zainal Arifin Hasibuan</vt:lpstr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Maurice - Web - Android</dc:creator>
  <cp:lastModifiedBy>Maurice - Web - Android</cp:lastModifiedBy>
  <dcterms:created xsi:type="dcterms:W3CDTF">2025-12-22T09:21:17+07:00</dcterms:created>
  <dcterms:modified xsi:type="dcterms:W3CDTF">2025-12-22T09:21:17+07:00</dcterms:modified>
  <dc:title>Office 2007 XLSX Test Document</dc:title>
  <dc:description>Test document for Office 2007 XLSX, generated using PHP classes.</dc:description>
  <dc:subject>Office 2007 XLSX Test Document</dc:subject>
  <cp:keywords>office 2007 openxml php</cp:keywords>
  <cp:category>Test result file</cp:category>
</cp:coreProperties>
</file>